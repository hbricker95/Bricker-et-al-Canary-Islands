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yleybricker/Documents/LGM_Canaries/CP/"/>
    </mc:Choice>
  </mc:AlternateContent>
  <xr:revisionPtr revIDLastSave="0" documentId="13_ncr:1_{0F09EC10-F6DB-AA41-AFCE-8E177C776CC2}" xr6:coauthVersionLast="47" xr6:coauthVersionMax="47" xr10:uidLastSave="{00000000-0000-0000-0000-000000000000}"/>
  <bookViews>
    <workbookView xWindow="1460" yWindow="820" windowWidth="27340" windowHeight="17180" activeTab="2" xr2:uid="{E6F59BFD-7A18-BC44-A67E-202CDCC79988}"/>
  </bookViews>
  <sheets>
    <sheet name="Table 1" sheetId="11" r:id="rId1"/>
    <sheet name="Table 2" sheetId="3" r:id="rId2"/>
    <sheet name="Table 3" sheetId="1" r:id="rId3"/>
    <sheet name="Table A1" sheetId="20" r:id="rId4"/>
    <sheet name="Table A2" sheetId="10" r:id="rId5"/>
    <sheet name="Table A3" sheetId="13" r:id="rId6"/>
    <sheet name="Table A4" sheetId="14" r:id="rId7"/>
    <sheet name="Table A5" sheetId="15" r:id="rId8"/>
    <sheet name="Table A6" sheetId="16" r:id="rId9"/>
    <sheet name="Table A7" sheetId="17" r:id="rId10"/>
    <sheet name="Table A8" sheetId="18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20" l="1"/>
  <c r="L36" i="20"/>
  <c r="H36" i="20"/>
  <c r="O35" i="20"/>
  <c r="L35" i="20"/>
  <c r="H35" i="20"/>
  <c r="O34" i="20"/>
  <c r="L34" i="20"/>
  <c r="H34" i="20"/>
  <c r="O33" i="20"/>
  <c r="L33" i="20"/>
  <c r="H33" i="20"/>
  <c r="O32" i="20"/>
  <c r="L32" i="20"/>
  <c r="H32" i="20"/>
  <c r="O31" i="20"/>
  <c r="L31" i="20"/>
  <c r="H31" i="20"/>
  <c r="O30" i="20"/>
  <c r="L30" i="20"/>
  <c r="H30" i="20"/>
  <c r="O29" i="20"/>
  <c r="L29" i="20"/>
  <c r="H29" i="20"/>
  <c r="O28" i="20"/>
  <c r="L28" i="20"/>
  <c r="H28" i="20"/>
  <c r="O27" i="20"/>
  <c r="L27" i="20"/>
  <c r="H27" i="20"/>
  <c r="O26" i="20"/>
  <c r="L26" i="20"/>
  <c r="H26" i="20"/>
  <c r="O25" i="20"/>
  <c r="L25" i="20"/>
  <c r="H25" i="20"/>
  <c r="O24" i="20"/>
  <c r="L24" i="20"/>
  <c r="H24" i="20"/>
  <c r="O23" i="20"/>
  <c r="L23" i="20"/>
  <c r="H23" i="20"/>
  <c r="O22" i="20"/>
  <c r="L22" i="20"/>
  <c r="H22" i="20"/>
  <c r="O21" i="20"/>
  <c r="L21" i="20"/>
  <c r="H21" i="20"/>
  <c r="O20" i="20"/>
  <c r="L20" i="20"/>
  <c r="H20" i="20"/>
  <c r="O19" i="20"/>
  <c r="L19" i="20"/>
  <c r="H19" i="20"/>
  <c r="O18" i="20"/>
  <c r="L18" i="20"/>
  <c r="H18" i="20"/>
  <c r="P17" i="20"/>
  <c r="O17" i="20"/>
  <c r="N17" i="20"/>
  <c r="L17" i="20"/>
  <c r="H17" i="20"/>
  <c r="N16" i="20"/>
  <c r="P16" i="20" s="1"/>
  <c r="L16" i="20"/>
  <c r="H16" i="20"/>
  <c r="N15" i="20"/>
  <c r="P15" i="20" s="1"/>
  <c r="L15" i="20"/>
  <c r="H15" i="20"/>
  <c r="P14" i="20"/>
  <c r="O14" i="20"/>
  <c r="N14" i="20"/>
  <c r="L14" i="20"/>
  <c r="H14" i="20"/>
  <c r="N13" i="20"/>
  <c r="P13" i="20" s="1"/>
  <c r="L13" i="20"/>
  <c r="H13" i="20"/>
  <c r="N12" i="20"/>
  <c r="P12" i="20" s="1"/>
  <c r="L12" i="20"/>
  <c r="H12" i="20"/>
  <c r="P11" i="20"/>
  <c r="N11" i="20"/>
  <c r="O11" i="20" s="1"/>
  <c r="L11" i="20"/>
  <c r="H11" i="20"/>
  <c r="P10" i="20"/>
  <c r="O10" i="20"/>
  <c r="N10" i="20"/>
  <c r="L10" i="20"/>
  <c r="H10" i="20"/>
  <c r="O9" i="20"/>
  <c r="N9" i="20"/>
  <c r="P9" i="20" s="1"/>
  <c r="L9" i="20"/>
  <c r="H9" i="20"/>
  <c r="N8" i="20"/>
  <c r="P8" i="20" s="1"/>
  <c r="L8" i="20"/>
  <c r="H8" i="20"/>
  <c r="N7" i="20"/>
  <c r="O7" i="20" s="1"/>
  <c r="L7" i="20"/>
  <c r="H7" i="20"/>
  <c r="P6" i="20"/>
  <c r="N6" i="20"/>
  <c r="O6" i="20" s="1"/>
  <c r="L6" i="20"/>
  <c r="H6" i="20"/>
  <c r="P5" i="20"/>
  <c r="N5" i="20"/>
  <c r="O5" i="20" s="1"/>
  <c r="L5" i="20"/>
  <c r="H5" i="20"/>
  <c r="N4" i="20"/>
  <c r="P4" i="20" s="1"/>
  <c r="L4" i="20"/>
  <c r="H4" i="20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23" i="18"/>
  <c r="F22" i="18"/>
  <c r="F21" i="18"/>
  <c r="F20" i="18"/>
  <c r="F19" i="18"/>
  <c r="F18" i="18"/>
  <c r="F17" i="18"/>
  <c r="F16" i="18"/>
  <c r="F15" i="18"/>
  <c r="F14" i="18"/>
  <c r="F13" i="18"/>
  <c r="F12" i="18"/>
  <c r="F11" i="18"/>
  <c r="F10" i="18"/>
  <c r="F9" i="18"/>
  <c r="F8" i="18"/>
  <c r="F7" i="18"/>
  <c r="F6" i="18"/>
  <c r="F5" i="18"/>
  <c r="F4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O16" i="20" l="1"/>
  <c r="O8" i="20"/>
  <c r="O13" i="20"/>
  <c r="O15" i="20"/>
  <c r="O4" i="20"/>
  <c r="P7" i="20"/>
  <c r="O12" i="20"/>
  <c r="C11" i="15"/>
  <c r="C10" i="15"/>
  <c r="C9" i="15"/>
  <c r="C8" i="15"/>
  <c r="C7" i="15"/>
  <c r="C6" i="15"/>
  <c r="C5" i="15"/>
  <c r="C4" i="15"/>
  <c r="I11" i="3"/>
  <c r="K11" i="3"/>
  <c r="K11" i="14"/>
  <c r="I11" i="14"/>
  <c r="K10" i="14"/>
  <c r="K9" i="14"/>
  <c r="K7" i="14"/>
  <c r="I7" i="14"/>
  <c r="N17" i="13"/>
  <c r="P17" i="13" s="1"/>
  <c r="L17" i="13"/>
  <c r="H17" i="13"/>
  <c r="N16" i="13"/>
  <c r="P16" i="13" s="1"/>
  <c r="L16" i="13"/>
  <c r="H16" i="13"/>
  <c r="N15" i="13"/>
  <c r="P15" i="13" s="1"/>
  <c r="L15" i="13"/>
  <c r="H15" i="13"/>
  <c r="P14" i="13"/>
  <c r="O14" i="13"/>
  <c r="N14" i="13"/>
  <c r="L14" i="13"/>
  <c r="H14" i="13"/>
  <c r="N13" i="13"/>
  <c r="P13" i="13" s="1"/>
  <c r="L13" i="13"/>
  <c r="H13" i="13"/>
  <c r="N12" i="13"/>
  <c r="P12" i="13" s="1"/>
  <c r="L12" i="13"/>
  <c r="H12" i="13"/>
  <c r="N11" i="13"/>
  <c r="P11" i="13" s="1"/>
  <c r="L11" i="13"/>
  <c r="H11" i="13"/>
  <c r="N10" i="13"/>
  <c r="O10" i="13" s="1"/>
  <c r="L10" i="13"/>
  <c r="H10" i="13"/>
  <c r="N9" i="13"/>
  <c r="P9" i="13" s="1"/>
  <c r="L9" i="13"/>
  <c r="H9" i="13"/>
  <c r="N8" i="13"/>
  <c r="P8" i="13" s="1"/>
  <c r="L8" i="13"/>
  <c r="H8" i="13"/>
  <c r="N7" i="13"/>
  <c r="P7" i="13" s="1"/>
  <c r="L7" i="13"/>
  <c r="H7" i="13"/>
  <c r="N6" i="13"/>
  <c r="O6" i="13" s="1"/>
  <c r="L6" i="13"/>
  <c r="H6" i="13"/>
  <c r="N5" i="13"/>
  <c r="O5" i="13" s="1"/>
  <c r="L5" i="13"/>
  <c r="H5" i="13"/>
  <c r="N4" i="13"/>
  <c r="P4" i="13" s="1"/>
  <c r="L4" i="13"/>
  <c r="H4" i="13"/>
  <c r="P5" i="13" l="1"/>
  <c r="O12" i="13"/>
  <c r="P6" i="13"/>
  <c r="O11" i="13"/>
  <c r="O13" i="13"/>
  <c r="O4" i="13"/>
  <c r="O8" i="13"/>
  <c r="O16" i="13"/>
  <c r="O7" i="13"/>
  <c r="P10" i="13"/>
  <c r="O15" i="13"/>
  <c r="O9" i="13"/>
  <c r="O17" i="13"/>
  <c r="K10" i="3" l="1"/>
  <c r="K9" i="3"/>
  <c r="K7" i="3" l="1"/>
  <c r="I7" i="3" l="1"/>
</calcChain>
</file>

<file path=xl/sharedStrings.xml><?xml version="1.0" encoding="utf-8"?>
<sst xmlns="http://schemas.openxmlformats.org/spreadsheetml/2006/main" count="510" uniqueCount="169">
  <si>
    <t>Model Name</t>
  </si>
  <si>
    <t xml:space="preserve">Skill-Score (SS) </t>
  </si>
  <si>
    <t>Anomaly</t>
  </si>
  <si>
    <t>Time Period</t>
  </si>
  <si>
    <t>Age</t>
  </si>
  <si>
    <t>Sample ID</t>
  </si>
  <si>
    <t>Replicate N</t>
  </si>
  <si>
    <t>LGM</t>
  </si>
  <si>
    <t>Mid-Holocene</t>
  </si>
  <si>
    <t>Modern</t>
  </si>
  <si>
    <t>Species</t>
  </si>
  <si>
    <t>LGA-1-1</t>
  </si>
  <si>
    <t>LGA-1-10</t>
  </si>
  <si>
    <t>LGA-1-11</t>
  </si>
  <si>
    <t>LGA-1-12</t>
  </si>
  <si>
    <t>LGA-1-13</t>
  </si>
  <si>
    <t>LGA-1-14</t>
  </si>
  <si>
    <t>LGA-1-2</t>
  </si>
  <si>
    <t>LGA-1-3</t>
  </si>
  <si>
    <t>LGA-1-4</t>
  </si>
  <si>
    <t>LGA-1-5</t>
  </si>
  <si>
    <t>LGA-1-6</t>
  </si>
  <si>
    <t>LGA-1-7</t>
  </si>
  <si>
    <t>LGA-1-8</t>
  </si>
  <si>
    <t>LGA-1-9</t>
  </si>
  <si>
    <t>LGA-2-1</t>
  </si>
  <si>
    <t>LGA-2-10</t>
  </si>
  <si>
    <t>LGA-2-11</t>
  </si>
  <si>
    <t>LGA-2-12</t>
  </si>
  <si>
    <t>LGA-2-13</t>
  </si>
  <si>
    <t>LGA-2-14</t>
  </si>
  <si>
    <t>LGA-2-15</t>
  </si>
  <si>
    <t>LGA-2-16</t>
  </si>
  <si>
    <t>LGA-2-17</t>
  </si>
  <si>
    <t>LGA-2-2</t>
  </si>
  <si>
    <t>LGA-2-5</t>
  </si>
  <si>
    <t>LGA-2-6</t>
  </si>
  <si>
    <t>LGA-2-7</t>
  </si>
  <si>
    <t>LGA-2-9</t>
  </si>
  <si>
    <t>LGA-3-1</t>
  </si>
  <si>
    <t>LGA-3-10-1</t>
  </si>
  <si>
    <t>LGA-3-10-2</t>
  </si>
  <si>
    <t>LGA-3-11</t>
  </si>
  <si>
    <t>LGA-3-12</t>
  </si>
  <si>
    <t>LGA-3-13</t>
  </si>
  <si>
    <t>LGA-3-14</t>
  </si>
  <si>
    <t>LGA-3-15</t>
  </si>
  <si>
    <t>LGA-3-16</t>
  </si>
  <si>
    <t>LGA-3-18</t>
  </si>
  <si>
    <t>LGA-3-19</t>
  </si>
  <si>
    <t>LGA-3-2</t>
  </si>
  <si>
    <t>LGA-3-3</t>
  </si>
  <si>
    <t>LGA-3-4</t>
  </si>
  <si>
    <t>LGA-3-5</t>
  </si>
  <si>
    <t>LGA-3-6</t>
  </si>
  <si>
    <t>LGA-3-7</t>
  </si>
  <si>
    <t>LGA-3-8</t>
  </si>
  <si>
    <t>LGA-3-9</t>
  </si>
  <si>
    <t>Monilearia monilifera &amp; Theba geminata</t>
  </si>
  <si>
    <t>Climate parameter</t>
  </si>
  <si>
    <t>Value</t>
  </si>
  <si>
    <t>Last Glacial Maximum</t>
  </si>
  <si>
    <t xml:space="preserve">Table 1. </t>
  </si>
  <si>
    <t xml:space="preserve">Table 2. </t>
  </si>
  <si>
    <t>Standard error</t>
  </si>
  <si>
    <t xml:space="preserve">Stable carbon and oxygen and carbonate clumped isotope results for Last Glacial Maximum, Mid-Holocene , and modern snail shells from Fuente de Gayo in the Canary Islands. </t>
  </si>
  <si>
    <t>Error (95% C.I.)</t>
  </si>
  <si>
    <t xml:space="preserve">Results of employing the Balakrishnan &amp; Yapp (2004) snail body water evaporative flux model to reconstruct the surface precipitation in which land snails interacted with. We assume an input relative humidity of 90%. </t>
  </si>
  <si>
    <t>SEM</t>
  </si>
  <si>
    <t xml:space="preserve">* Statistical outliers calculated using the z-score method. </t>
  </si>
  <si>
    <t>Climate State</t>
  </si>
  <si>
    <t>Supplemental Table 1: Mean values of distributions with and without statistical outliers.</t>
  </si>
  <si>
    <t>PMIP3: FGOALS</t>
  </si>
  <si>
    <t>PMIP3: GISS-E2</t>
  </si>
  <si>
    <t>PMIP3: COSMOS-ASO</t>
  </si>
  <si>
    <t>PMIP3: IPSL-CM5A</t>
  </si>
  <si>
    <t>PMIP3: MIROC-ESM</t>
  </si>
  <si>
    <t>PMIP3: NCAR-CCSM</t>
  </si>
  <si>
    <t>PMIP3: MPI-ESM</t>
  </si>
  <si>
    <t>PMIP3: MRI-CGCM3</t>
  </si>
  <si>
    <t>PMIP3: CNRM-CM5</t>
  </si>
  <si>
    <t>HadAM3: 096x073</t>
  </si>
  <si>
    <t>HadAM3: 192x145</t>
  </si>
  <si>
    <t>HadAM3: 288x217</t>
  </si>
  <si>
    <t>HadAM3: 432x325</t>
  </si>
  <si>
    <t>PMIP4: AWI-ESM-1-1-LR</t>
  </si>
  <si>
    <t>PMIP4: INM-CM4-8</t>
  </si>
  <si>
    <t>PMIP4: MIROC-ES2L</t>
  </si>
  <si>
    <t>PMIP4: MPI-ESM1.2-LR</t>
  </si>
  <si>
    <t>HadAM3: temn</t>
  </si>
  <si>
    <t>HadAM3: temj</t>
  </si>
  <si>
    <r>
      <t xml:space="preserve">19,820 ± 110 </t>
    </r>
    <r>
      <rPr>
        <sz val="8"/>
        <color theme="1"/>
        <rFont val="Times New Roman"/>
        <family val="1"/>
      </rPr>
      <t> </t>
    </r>
    <r>
      <rPr>
        <sz val="12"/>
        <color theme="1"/>
        <rFont val="Times New Roman"/>
        <family val="1"/>
      </rPr>
      <t xml:space="preserve">14C ka </t>
    </r>
  </si>
  <si>
    <t>4,580 ± 35 14C ka</t>
  </si>
  <si>
    <t>Inputted RH - tunable</t>
  </si>
  <si>
    <t>δ18O (‰, VPDB) of snail shell</t>
  </si>
  <si>
    <t xml:space="preserve">Reconstructed δ18Osnail body water (‰, VSMOW) </t>
  </si>
  <si>
    <t>Δ47 (‰)</t>
  </si>
  <si>
    <t>Δ47-T (ºC)</t>
  </si>
  <si>
    <t>δ13C (‰, VPDB)</t>
  </si>
  <si>
    <t>δ18O (‰, VPDB)</t>
  </si>
  <si>
    <t>Modern temperature (Δ47-T (ºC))</t>
  </si>
  <si>
    <t>LGM temperature (Δ47-T (ºC))</t>
  </si>
  <si>
    <t>ΔT-ºC (LGM - modern)</t>
  </si>
  <si>
    <t>Terrestrial snail calcification temperature &amp; δ18O</t>
  </si>
  <si>
    <t>Modern reconstructed δ18Oprecipitation (V-SMOW) (snail)</t>
  </si>
  <si>
    <t xml:space="preserve">LGM reconstructed δ18Oprecipitation (V-SMOW) (ice vol.-corrected) (snail) </t>
  </si>
  <si>
    <t>Δδ18Oprecipitation (LGM - modern)</t>
  </si>
  <si>
    <t xml:space="preserve">Climatological data and proxy based reconstructions of past climate.  </t>
  </si>
  <si>
    <t xml:space="preserve">Model anomaly results for surface air temperature. 9 models from PMIP3, 4 models from PMIP4, and 7 models from the Hadley Centre are evaluated for the LGM case. The skill-score is computed by methods detailed in Hargreaves et al. (2013), which assesses the ability of the model simulations to agree with the proxy observation(s). </t>
  </si>
  <si>
    <t>Mean Δ47-T (ºC) for all data</t>
  </si>
  <si>
    <t>Mean Δ47-T (ºC) with statistical outliers removed*</t>
  </si>
  <si>
    <t>1 s.d.</t>
  </si>
  <si>
    <t>1 s.e.</t>
  </si>
  <si>
    <t>95% C.I.</t>
  </si>
  <si>
    <t>Upper 95% C.I.</t>
  </si>
  <si>
    <t>Lower 95% C.I.</t>
  </si>
  <si>
    <t xml:space="preserve">Supplemental Table 4. </t>
  </si>
  <si>
    <t>Isotopic measurement data for the Mid-Holocene samples.</t>
  </si>
  <si>
    <t>Supplemental Table 5.</t>
  </si>
  <si>
    <t xml:space="preserve">Climatological data and proxy based reconstructions of the Mid-Holocene.  </t>
  </si>
  <si>
    <t>Terrestrial gastropod calcification temperature &amp; δ18O</t>
  </si>
  <si>
    <t>Mid-Holocene temperature (Δ47-T (ºC))</t>
  </si>
  <si>
    <t>ΔT ºC (Mid-Holocene - modern)</t>
  </si>
  <si>
    <t>Mid-Holocene reconstructed water δ18Oprecipitation (V-SMOW) (snail)</t>
  </si>
  <si>
    <t>Δδ18Oprecipitation (MH - modern)</t>
  </si>
  <si>
    <t>Supplemental Table 6.</t>
  </si>
  <si>
    <t xml:space="preserve">Model anomaly results for surface air temperature. 8 models from PMIP3, 3 models from PMIP4, and 2 models from the Hadley Centre are evaluated for the LGM case. The skill-score is computed by methods detailed in Hargreaves et al. (2013), which assesses the ability of the model simulations to agree with the proxy observation(s). </t>
  </si>
  <si>
    <t>Reconstructed δ18Oprecipitation (‰, VSMOW) @ 90%</t>
  </si>
  <si>
    <t>Rss</t>
  </si>
  <si>
    <t>Inputted δ18Oprecipitation</t>
  </si>
  <si>
    <t>18O/16O of precipitation</t>
  </si>
  <si>
    <t>⍺</t>
  </si>
  <si>
    <t>Rvapor</t>
  </si>
  <si>
    <t xml:space="preserve">δ18O vapor (SMOW) </t>
  </si>
  <si>
    <t>Balakrishnan &amp; Yapp δ18O snail body water</t>
  </si>
  <si>
    <t>Supplemental Table 8.</t>
  </si>
  <si>
    <t>δ18Obody water (VSMOW) - Kim &amp; O'Neil</t>
  </si>
  <si>
    <t>Workflow to achieve parsimony between Kim &amp; O'Neil calculation of snail body water and the Balakrishnan &amp; Yapp calculation tuned with relative humidity.The third column and last column are matched as close as possible by tuning the value of relative humidity.</t>
  </si>
  <si>
    <t>Calculated δ18Oshell</t>
  </si>
  <si>
    <t>Predicted Temperature - δ18Oshell and assumed δ18Oprecipitation</t>
  </si>
  <si>
    <t>Predicted δ18Oprecipitation - calculated δ18Oshell and Δ47-T</t>
  </si>
  <si>
    <t>Supplemental Table 9.</t>
  </si>
  <si>
    <t xml:space="preserve">Testing departure from equilibrium using the Grossman &amp; Ku (1986) equation for gastropods. </t>
  </si>
  <si>
    <t>Predicted δ18Oshell - assumed δ18Oprecipitation and Δ47-T*</t>
  </si>
  <si>
    <t>* Annual precipitation is from Yanes et al. (2013), -3.5 ‰ (VSMOW). For LGM samples, this is corrected by +1.2 ‰.</t>
  </si>
  <si>
    <t>Supplemental Table 7.</t>
  </si>
  <si>
    <t>Modern*</t>
  </si>
  <si>
    <t>* Denotes statistical outlier.</t>
  </si>
  <si>
    <t>Table 4</t>
  </si>
  <si>
    <t>HadCM3: xnfm</t>
  </si>
  <si>
    <t>Δ47 
(‰)</t>
  </si>
  <si>
    <t>Replicate 
N</t>
  </si>
  <si>
    <t>Sample 
ID</t>
  </si>
  <si>
    <t>Time 
Period</t>
  </si>
  <si>
    <t>1 
s.e.</t>
  </si>
  <si>
    <t>Monilearia 
monilifera</t>
  </si>
  <si>
    <t>Theba 
geminata</t>
  </si>
  <si>
    <t>95% 
C.I.</t>
  </si>
  <si>
    <t>Upper 
95% 
C.I.</t>
  </si>
  <si>
    <t>Lower 
95% 
C.I.</t>
  </si>
  <si>
    <t>Δ47-T 
(ºC)</t>
  </si>
  <si>
    <t>1 
s.d.</t>
  </si>
  <si>
    <t>δ13C 
(‰, VPDB)</t>
  </si>
  <si>
    <t>δ18O 
(‰, VPDB)</t>
  </si>
  <si>
    <t>δ18Obody water 
(‰, VSMOW)</t>
  </si>
  <si>
    <t>δ18Oprecipitation 
(‰, VSMOW)</t>
  </si>
  <si>
    <t xml:space="preserve">Table A1. </t>
  </si>
  <si>
    <t>δ13C 
(‰, 
VPDB)</t>
  </si>
  <si>
    <t>δ18O 
(‰, 
VPDB)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</si>
</sst>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 Unicode MS"/>
      <family val="2"/>
    </font>
    <font>
      <sz val="10"/>
      <color theme="1"/>
      <name val="Arial Unicode MS"/>
      <family val="2"/>
      <charset val="128"/>
    </font>
    <font>
      <sz val="8"/>
      <color theme="1"/>
      <name val="Times New Roman"/>
      <family val="1"/>
    </font>
    <font>
      <sz val="12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/>
    <xf numFmtId="165" fontId="1" fillId="2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3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164" fontId="5" fillId="2" borderId="3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0" fontId="1" fillId="2" borderId="0" xfId="0" applyFont="1" applyFill="1"/>
    <xf numFmtId="0" fontId="1" fillId="2" borderId="2" xfId="0" applyFont="1" applyFill="1" applyBorder="1"/>
    <xf numFmtId="164" fontId="6" fillId="0" borderId="0" xfId="0" applyNumberFormat="1" applyFont="1"/>
    <xf numFmtId="164" fontId="7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1" xfId="0" applyFont="1" applyBorder="1" applyAlignment="1">
      <alignment wrapText="1"/>
    </xf>
    <xf numFmtId="164" fontId="1" fillId="0" borderId="0" xfId="0" applyNumberFormat="1" applyFont="1"/>
    <xf numFmtId="164" fontId="1" fillId="0" borderId="2" xfId="0" applyNumberFormat="1" applyFont="1" applyBorder="1"/>
    <xf numFmtId="164" fontId="2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/>
    <xf numFmtId="0" fontId="12" fillId="0" borderId="1" xfId="0" applyFont="1" applyBorder="1" applyAlignment="1">
      <alignment horizontal="center"/>
    </xf>
    <xf numFmtId="0" fontId="12" fillId="0" borderId="4" xfId="0" applyFont="1" applyBorder="1"/>
    <xf numFmtId="0" fontId="12" fillId="0" borderId="4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6" fillId="0" borderId="0" xfId="0" applyFont="1"/>
    <xf numFmtId="0" fontId="1" fillId="2" borderId="0" xfId="0" applyFont="1" applyFill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ayleybricker/Documents/LGM_Canaries/Spreadsheets/Skillscore_calcs.xlsx" TargetMode="External"/><Relationship Id="rId1" Type="http://schemas.openxmlformats.org/officeDocument/2006/relationships/externalLinkPath" Target="/Users/hayleybricker/Documents/LGM_Canaries/Spreadsheets/Skillscore_cal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s_lgm"/>
      <sheetName val="tas_mh"/>
      <sheetName val="tos_lgm"/>
      <sheetName val="tos_mh"/>
      <sheetName val="hurs_lgm"/>
      <sheetName val="hurs_mh"/>
      <sheetName val="d18O_bristol"/>
    </sheetNames>
    <sheetDataSet>
      <sheetData sheetId="0"/>
      <sheetData sheetId="1">
        <row r="3">
          <cell r="A3">
            <v>-0.38159179999999998</v>
          </cell>
        </row>
        <row r="8">
          <cell r="A8">
            <v>0.38327025999999997</v>
          </cell>
        </row>
        <row r="13">
          <cell r="A13">
            <v>-0.40139770000000002</v>
          </cell>
        </row>
        <row r="18">
          <cell r="A18">
            <v>-6.6040039999999994E-2</v>
          </cell>
        </row>
        <row r="23">
          <cell r="A23">
            <v>0.25021362000000003</v>
          </cell>
        </row>
        <row r="28">
          <cell r="A28">
            <v>-0.34265137000000001</v>
          </cell>
        </row>
        <row r="33">
          <cell r="A33">
            <v>-9.6801760000000001E-2</v>
          </cell>
        </row>
        <row r="38">
          <cell r="A38">
            <v>0.13494872999999999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81D2-7F35-FA4C-A09E-37990BDD04AE}">
  <dimension ref="A1:AC38"/>
  <sheetViews>
    <sheetView workbookViewId="0"/>
  </sheetViews>
  <sheetFormatPr baseColWidth="10" defaultRowHeight="16" x14ac:dyDescent="0.2"/>
  <cols>
    <col min="1" max="1" width="7" style="1" customWidth="1"/>
    <col min="2" max="2" width="9.5" style="1" customWidth="1"/>
    <col min="3" max="3" width="10" style="1" customWidth="1"/>
    <col min="4" max="4" width="9.33203125" style="1" customWidth="1"/>
    <col min="5" max="5" width="5.6640625" style="1" customWidth="1"/>
    <col min="6" max="6" width="6.6640625" style="1" customWidth="1"/>
    <col min="7" max="8" width="6.1640625" style="1" customWidth="1"/>
    <col min="9" max="9" width="10.83203125" style="1"/>
    <col min="10" max="10" width="4.83203125" style="1" customWidth="1"/>
    <col min="11" max="11" width="7.1640625" style="1" customWidth="1"/>
    <col min="12" max="12" width="4.5" style="1" customWidth="1"/>
    <col min="13" max="13" width="10" style="1" customWidth="1"/>
    <col min="14" max="14" width="4.6640625" style="1" customWidth="1"/>
    <col min="15" max="15" width="10.1640625" style="1" customWidth="1"/>
    <col min="16" max="16384" width="10.83203125" style="1"/>
  </cols>
  <sheetData>
    <row r="1" spans="1:29" x14ac:dyDescent="0.2">
      <c r="A1" s="1" t="s">
        <v>62</v>
      </c>
    </row>
    <row r="3" spans="1:29" ht="69" thickBot="1" x14ac:dyDescent="0.25">
      <c r="A3" s="41" t="s">
        <v>153</v>
      </c>
      <c r="B3" s="41" t="s">
        <v>152</v>
      </c>
      <c r="C3" s="42" t="s">
        <v>10</v>
      </c>
      <c r="D3" s="41" t="s">
        <v>151</v>
      </c>
      <c r="E3" s="41" t="s">
        <v>150</v>
      </c>
      <c r="F3" s="41" t="s">
        <v>157</v>
      </c>
      <c r="G3" s="41" t="s">
        <v>160</v>
      </c>
      <c r="H3" s="41" t="s">
        <v>157</v>
      </c>
      <c r="I3" s="41" t="s">
        <v>167</v>
      </c>
      <c r="J3" s="41" t="s">
        <v>161</v>
      </c>
      <c r="K3" s="41" t="s">
        <v>168</v>
      </c>
      <c r="L3" s="41" t="s">
        <v>161</v>
      </c>
      <c r="M3" s="41" t="s">
        <v>164</v>
      </c>
      <c r="N3" s="41" t="s">
        <v>161</v>
      </c>
      <c r="O3" s="41" t="s">
        <v>165</v>
      </c>
    </row>
    <row r="4" spans="1:29" ht="35" thickTop="1" x14ac:dyDescent="0.2">
      <c r="A4" s="6" t="s">
        <v>7</v>
      </c>
      <c r="B4" s="6" t="s">
        <v>11</v>
      </c>
      <c r="C4" s="49" t="s">
        <v>155</v>
      </c>
      <c r="D4" s="6">
        <v>3</v>
      </c>
      <c r="E4" s="6">
        <v>0.628</v>
      </c>
      <c r="F4" s="9">
        <v>3.0000000000000027E-2</v>
      </c>
      <c r="G4" s="8">
        <v>14.208348798346909</v>
      </c>
      <c r="H4" s="7">
        <v>7.405384336406172</v>
      </c>
      <c r="I4" s="38">
        <v>-5.0199999999999996</v>
      </c>
      <c r="J4" s="38">
        <v>2.9000000000000001E-2</v>
      </c>
      <c r="K4" s="38">
        <v>2.13</v>
      </c>
      <c r="L4" s="38">
        <v>0.105</v>
      </c>
      <c r="M4" s="24">
        <v>1.48</v>
      </c>
      <c r="N4" s="24">
        <v>0.78628906140122623</v>
      </c>
      <c r="O4" s="24">
        <v>-3.6207340602563356</v>
      </c>
      <c r="P4" s="32"/>
    </row>
    <row r="5" spans="1:29" ht="34" x14ac:dyDescent="0.2">
      <c r="A5" s="6" t="s">
        <v>7</v>
      </c>
      <c r="B5" s="6" t="s">
        <v>12</v>
      </c>
      <c r="C5" s="49" t="s">
        <v>155</v>
      </c>
      <c r="D5" s="6">
        <v>3</v>
      </c>
      <c r="E5" s="6">
        <v>0.65600000000000003</v>
      </c>
      <c r="F5" s="9">
        <v>2.200000000000002E-2</v>
      </c>
      <c r="G5" s="8">
        <v>6.0036130769652418</v>
      </c>
      <c r="H5" s="7">
        <v>4.9815789587954677</v>
      </c>
      <c r="I5" s="38">
        <v>-5.38</v>
      </c>
      <c r="J5" s="38">
        <v>6.0999999999999999E-2</v>
      </c>
      <c r="K5" s="38">
        <v>1.76</v>
      </c>
      <c r="L5" s="38">
        <v>0.185</v>
      </c>
      <c r="M5" s="8">
        <v>-0.71</v>
      </c>
      <c r="N5" s="8">
        <v>0.63875729450771523</v>
      </c>
      <c r="O5" s="8">
        <v>-5.8824580716628985</v>
      </c>
      <c r="P5" s="32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34" x14ac:dyDescent="0.2">
      <c r="A6" s="6" t="s">
        <v>7</v>
      </c>
      <c r="B6" s="6" t="s">
        <v>13</v>
      </c>
      <c r="C6" s="49" t="s">
        <v>155</v>
      </c>
      <c r="D6" s="6">
        <v>2</v>
      </c>
      <c r="E6" s="9">
        <v>0.64549999999999996</v>
      </c>
      <c r="F6" s="9">
        <v>7.350000000000001E-2</v>
      </c>
      <c r="G6" s="8">
        <v>9.2084567178663406</v>
      </c>
      <c r="H6" s="7">
        <v>14.930185198455863</v>
      </c>
      <c r="I6" s="38">
        <v>-6.54</v>
      </c>
      <c r="J6" s="38">
        <v>0.16800000000000001</v>
      </c>
      <c r="K6" s="38">
        <v>1.34</v>
      </c>
      <c r="L6" s="38">
        <v>0.41099999999999998</v>
      </c>
      <c r="M6" s="8">
        <v>-1.21</v>
      </c>
      <c r="N6" s="8">
        <v>1.4345432022816418</v>
      </c>
      <c r="O6" s="8">
        <v>-6.3482840252312647</v>
      </c>
      <c r="P6" s="3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4" x14ac:dyDescent="0.2">
      <c r="A7" s="6" t="s">
        <v>7</v>
      </c>
      <c r="B7" s="6" t="s">
        <v>14</v>
      </c>
      <c r="C7" s="49" t="s">
        <v>155</v>
      </c>
      <c r="D7" s="6">
        <v>2</v>
      </c>
      <c r="E7" s="9">
        <v>0.63349999999999995</v>
      </c>
      <c r="F7" s="9">
        <v>1.5499999999999958E-2</v>
      </c>
      <c r="G7" s="8">
        <v>12.42192008222418</v>
      </c>
      <c r="H7" s="7">
        <v>3.2101841100468973</v>
      </c>
      <c r="I7" s="38">
        <v>-6.41</v>
      </c>
      <c r="J7" s="38">
        <v>0.16600000000000001</v>
      </c>
      <c r="K7" s="38">
        <v>1.7</v>
      </c>
      <c r="L7" s="38">
        <v>0.39400000000000002</v>
      </c>
      <c r="M7" s="8">
        <v>-1.65</v>
      </c>
      <c r="N7" s="8">
        <v>2.5650198552305201</v>
      </c>
      <c r="O7" s="8">
        <v>-6.7553985683831632</v>
      </c>
      <c r="P7" s="3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4" x14ac:dyDescent="0.2">
      <c r="A8" s="6" t="s">
        <v>7</v>
      </c>
      <c r="B8" s="6" t="s">
        <v>15</v>
      </c>
      <c r="C8" s="49" t="s">
        <v>155</v>
      </c>
      <c r="D8" s="6">
        <v>2</v>
      </c>
      <c r="E8" s="9">
        <v>0.62949999999999995</v>
      </c>
      <c r="F8" s="9">
        <v>1.8499999999999961E-2</v>
      </c>
      <c r="G8" s="8">
        <v>13.62649594165617</v>
      </c>
      <c r="H8" s="7">
        <v>3.8419592562397571</v>
      </c>
      <c r="I8" s="38">
        <v>-5.87</v>
      </c>
      <c r="J8" s="38">
        <v>0.20799999999999999</v>
      </c>
      <c r="K8" s="38">
        <v>1.68</v>
      </c>
      <c r="L8" s="38">
        <v>0.48399999999999999</v>
      </c>
      <c r="M8" s="8">
        <v>-0.56999999999999995</v>
      </c>
      <c r="N8" s="8">
        <v>1.7785501423837344</v>
      </c>
      <c r="O8" s="8">
        <v>-5.6682098656759763</v>
      </c>
      <c r="P8" s="3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4" x14ac:dyDescent="0.2">
      <c r="A9" s="6" t="s">
        <v>7</v>
      </c>
      <c r="B9" s="6" t="s">
        <v>16</v>
      </c>
      <c r="C9" s="49" t="s">
        <v>155</v>
      </c>
      <c r="D9" s="6">
        <v>3</v>
      </c>
      <c r="E9" s="9">
        <v>0.61</v>
      </c>
      <c r="F9" s="9">
        <v>3.5000000000000031E-2</v>
      </c>
      <c r="G9" s="8">
        <v>19.787436365751319</v>
      </c>
      <c r="H9" s="7">
        <v>9.0263562073436638</v>
      </c>
      <c r="I9" s="38">
        <v>-4.09</v>
      </c>
      <c r="J9" s="38">
        <v>0.121</v>
      </c>
      <c r="K9" s="38">
        <v>1.37</v>
      </c>
      <c r="L9" s="38">
        <v>0.187</v>
      </c>
      <c r="M9" s="8">
        <v>1.9</v>
      </c>
      <c r="N9" s="8">
        <v>0.88567433211352131</v>
      </c>
      <c r="O9" s="8">
        <v>-3.151568338390164</v>
      </c>
      <c r="P9" s="3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4" x14ac:dyDescent="0.2">
      <c r="A10" s="6" t="s">
        <v>7</v>
      </c>
      <c r="B10" s="6" t="s">
        <v>17</v>
      </c>
      <c r="C10" s="49" t="s">
        <v>155</v>
      </c>
      <c r="D10" s="6">
        <v>3</v>
      </c>
      <c r="E10" s="6">
        <v>0.63600000000000001</v>
      </c>
      <c r="F10" s="9">
        <v>1.100000000000001E-2</v>
      </c>
      <c r="G10" s="8">
        <v>11.685154998984499</v>
      </c>
      <c r="H10" s="7">
        <v>2.6296695082850414</v>
      </c>
      <c r="I10" s="38">
        <v>-6.23</v>
      </c>
      <c r="J10" s="38">
        <v>3.5999999999999997E-2</v>
      </c>
      <c r="K10" s="38">
        <v>2.31</v>
      </c>
      <c r="L10" s="38">
        <v>2.5000000000000001E-2</v>
      </c>
      <c r="M10" s="8">
        <v>1.1299999999999999</v>
      </c>
      <c r="N10" s="8">
        <v>0.28299450818157029</v>
      </c>
      <c r="O10" s="8">
        <v>-3.9933397577952769</v>
      </c>
      <c r="P10" s="3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4" x14ac:dyDescent="0.2">
      <c r="A11" s="6" t="s">
        <v>7</v>
      </c>
      <c r="B11" s="6" t="s">
        <v>18</v>
      </c>
      <c r="C11" s="49" t="s">
        <v>155</v>
      </c>
      <c r="D11" s="6">
        <v>3</v>
      </c>
      <c r="E11" s="6">
        <v>0.61899999999999999</v>
      </c>
      <c r="F11" s="9">
        <v>1.8000000000000016E-2</v>
      </c>
      <c r="G11" s="8">
        <v>16.981787273731019</v>
      </c>
      <c r="H11" s="7">
        <v>4.3702392595073372</v>
      </c>
      <c r="I11" s="38">
        <v>-6.08</v>
      </c>
      <c r="J11" s="38">
        <v>2.5999999999999999E-2</v>
      </c>
      <c r="K11" s="38">
        <v>1.49</v>
      </c>
      <c r="L11" s="38">
        <v>0.05</v>
      </c>
      <c r="M11" s="8">
        <v>1.45</v>
      </c>
      <c r="N11" s="8">
        <v>0.45072298217844176</v>
      </c>
      <c r="O11" s="8">
        <v>-3.6249989507718618</v>
      </c>
      <c r="P11" s="3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4" x14ac:dyDescent="0.2">
      <c r="A12" s="6" t="s">
        <v>7</v>
      </c>
      <c r="B12" s="6" t="s">
        <v>19</v>
      </c>
      <c r="C12" s="49" t="s">
        <v>155</v>
      </c>
      <c r="D12" s="6">
        <v>3</v>
      </c>
      <c r="E12" s="6">
        <v>0.626</v>
      </c>
      <c r="F12" s="9">
        <v>1.3000000000000012E-2</v>
      </c>
      <c r="G12" s="8">
        <v>14.79718309285848</v>
      </c>
      <c r="H12" s="7">
        <v>3.2183472829292126</v>
      </c>
      <c r="I12" s="38">
        <v>-5.28</v>
      </c>
      <c r="J12" s="38">
        <v>2.3E-2</v>
      </c>
      <c r="K12" s="38">
        <v>1.67</v>
      </c>
      <c r="L12" s="38">
        <v>5.5E-2</v>
      </c>
      <c r="M12" s="8">
        <v>1.1599999999999999</v>
      </c>
      <c r="N12" s="8">
        <v>0.35231127029393872</v>
      </c>
      <c r="O12" s="8">
        <v>-3.9339866690655469</v>
      </c>
      <c r="P12" s="3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4" x14ac:dyDescent="0.2">
      <c r="A13" s="6" t="s">
        <v>7</v>
      </c>
      <c r="B13" s="6" t="s">
        <v>20</v>
      </c>
      <c r="C13" s="49" t="s">
        <v>155</v>
      </c>
      <c r="D13" s="6">
        <v>3</v>
      </c>
      <c r="E13" s="6">
        <v>0.623</v>
      </c>
      <c r="F13" s="9">
        <v>1.9000000000000017E-2</v>
      </c>
      <c r="G13" s="8">
        <v>15.649173562823499</v>
      </c>
      <c r="H13" s="7">
        <v>4.7811802904262901</v>
      </c>
      <c r="I13" s="38">
        <v>-2.95</v>
      </c>
      <c r="J13" s="38">
        <v>0.04</v>
      </c>
      <c r="K13" s="38">
        <v>1.93</v>
      </c>
      <c r="L13" s="38">
        <v>5.2999999999999999E-2</v>
      </c>
      <c r="M13" s="8">
        <v>1.6</v>
      </c>
      <c r="N13" s="8">
        <v>0.51092872039048354</v>
      </c>
      <c r="O13" s="8">
        <v>-3.4877960990356218</v>
      </c>
      <c r="P13" s="3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34" x14ac:dyDescent="0.2">
      <c r="A14" s="6" t="s">
        <v>7</v>
      </c>
      <c r="B14" s="6" t="s">
        <v>21</v>
      </c>
      <c r="C14" s="49" t="s">
        <v>155</v>
      </c>
      <c r="D14" s="6">
        <v>3</v>
      </c>
      <c r="E14" s="9">
        <v>0.64</v>
      </c>
      <c r="F14" s="9">
        <v>4.2000000000000037E-2</v>
      </c>
      <c r="G14" s="8">
        <v>10.86932603388467</v>
      </c>
      <c r="H14" s="7">
        <v>10.219265668153263</v>
      </c>
      <c r="I14" s="38">
        <v>-6.76</v>
      </c>
      <c r="J14" s="38">
        <v>0.14899999999999999</v>
      </c>
      <c r="K14" s="38">
        <v>1.44</v>
      </c>
      <c r="L14" s="38">
        <v>0.29199999999999998</v>
      </c>
      <c r="M14" s="8">
        <v>0.04</v>
      </c>
      <c r="N14" s="8">
        <v>1.2168382265548587</v>
      </c>
      <c r="O14" s="8">
        <v>-5.0869499651061902</v>
      </c>
      <c r="P14" s="3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34" x14ac:dyDescent="0.2">
      <c r="A15" s="6" t="s">
        <v>7</v>
      </c>
      <c r="B15" s="6" t="s">
        <v>22</v>
      </c>
      <c r="C15" s="49" t="s">
        <v>155</v>
      </c>
      <c r="D15" s="6">
        <v>3</v>
      </c>
      <c r="E15" s="6">
        <v>0.63400000000000001</v>
      </c>
      <c r="F15" s="9">
        <v>3.6000000000000032E-2</v>
      </c>
      <c r="G15" s="8">
        <v>12.367519160832771</v>
      </c>
      <c r="H15" s="7">
        <v>8.6609704864480488</v>
      </c>
      <c r="I15" s="38">
        <v>-5.76</v>
      </c>
      <c r="J15" s="38">
        <v>3.5000000000000003E-2</v>
      </c>
      <c r="K15" s="38">
        <v>1.1100000000000001</v>
      </c>
      <c r="L15" s="38">
        <v>0.06</v>
      </c>
      <c r="M15" s="8">
        <v>0.05</v>
      </c>
      <c r="N15" s="8">
        <v>0.94513204296459574</v>
      </c>
      <c r="O15" s="8">
        <v>-5.0625679945292203</v>
      </c>
      <c r="P15" s="3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34" x14ac:dyDescent="0.2">
      <c r="A16" s="6" t="s">
        <v>7</v>
      </c>
      <c r="B16" s="6" t="s">
        <v>23</v>
      </c>
      <c r="C16" s="49" t="s">
        <v>155</v>
      </c>
      <c r="D16" s="6">
        <v>3</v>
      </c>
      <c r="E16" s="6">
        <v>0.627</v>
      </c>
      <c r="F16" s="9">
        <v>2.1000000000000019E-2</v>
      </c>
      <c r="G16" s="8">
        <v>14.534020046460871</v>
      </c>
      <c r="H16" s="7">
        <v>5.0711296962906811</v>
      </c>
      <c r="I16" s="38">
        <v>1.66</v>
      </c>
      <c r="J16" s="38">
        <v>5.7000000000000002E-2</v>
      </c>
      <c r="K16" s="38">
        <v>2.37</v>
      </c>
      <c r="L16" s="38">
        <v>1.7000000000000001E-2</v>
      </c>
      <c r="M16" s="8">
        <v>1.8</v>
      </c>
      <c r="N16" s="8">
        <v>0.55668483937980162</v>
      </c>
      <c r="O16" s="8">
        <v>-3.2989317402894116</v>
      </c>
      <c r="P16" s="3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34" x14ac:dyDescent="0.2">
      <c r="A17" s="6" t="s">
        <v>7</v>
      </c>
      <c r="B17" s="6" t="s">
        <v>24</v>
      </c>
      <c r="C17" s="49" t="s">
        <v>155</v>
      </c>
      <c r="D17" s="6">
        <v>3</v>
      </c>
      <c r="E17" s="6">
        <v>0.63200000000000001</v>
      </c>
      <c r="F17" s="9">
        <v>3.6000000000000032E-2</v>
      </c>
      <c r="G17" s="8">
        <v>12.98117055614764</v>
      </c>
      <c r="H17" s="7">
        <v>9.1791351211794936</v>
      </c>
      <c r="I17" s="38">
        <v>-7.35</v>
      </c>
      <c r="J17" s="38">
        <v>9.1999999999999998E-2</v>
      </c>
      <c r="K17" s="38">
        <v>1.69</v>
      </c>
      <c r="L17" s="38">
        <v>0.217</v>
      </c>
      <c r="M17" s="8">
        <v>0.76</v>
      </c>
      <c r="N17" s="8">
        <v>1.0881923636177533</v>
      </c>
      <c r="O17" s="8">
        <v>-4.3495017101365043</v>
      </c>
      <c r="P17" s="3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34" x14ac:dyDescent="0.2">
      <c r="A18" s="6" t="s">
        <v>9</v>
      </c>
      <c r="B18" s="6" t="s">
        <v>39</v>
      </c>
      <c r="C18" s="49" t="s">
        <v>156</v>
      </c>
      <c r="D18" s="15">
        <v>3</v>
      </c>
      <c r="E18" s="9">
        <v>0.58433333333333326</v>
      </c>
      <c r="F18" s="9">
        <v>2.0850062107226952E-2</v>
      </c>
      <c r="G18" s="22">
        <v>28.373295495226941</v>
      </c>
      <c r="H18" s="7">
        <v>3.8</v>
      </c>
      <c r="I18" s="7">
        <v>-8.9600000000000009</v>
      </c>
      <c r="J18" s="7">
        <v>0.04</v>
      </c>
      <c r="K18" s="7">
        <v>-0.5</v>
      </c>
      <c r="L18" s="7">
        <v>0.04</v>
      </c>
      <c r="M18" s="7">
        <v>1.7810401250000003</v>
      </c>
      <c r="N18" s="7">
        <v>1.1000000000000001</v>
      </c>
      <c r="O18" s="7">
        <v>-3.1974719616292493</v>
      </c>
    </row>
    <row r="19" spans="1:29" ht="34" x14ac:dyDescent="0.2">
      <c r="A19" s="6" t="s">
        <v>9</v>
      </c>
      <c r="B19" s="6" t="s">
        <v>40</v>
      </c>
      <c r="C19" s="49" t="s">
        <v>156</v>
      </c>
      <c r="D19" s="6">
        <v>3</v>
      </c>
      <c r="E19" s="9">
        <v>0.61166666666666669</v>
      </c>
      <c r="F19" s="9">
        <v>3.8265337497809249E-2</v>
      </c>
      <c r="G19" s="7">
        <v>19.401928129106501</v>
      </c>
      <c r="H19" s="7">
        <v>5.5</v>
      </c>
      <c r="I19" s="7">
        <v>-10.32</v>
      </c>
      <c r="J19" s="7">
        <v>0.06</v>
      </c>
      <c r="K19" s="7">
        <v>-0.28999999999999998</v>
      </c>
      <c r="L19" s="7">
        <v>0.13</v>
      </c>
      <c r="M19" s="7">
        <v>0.14484976953333337</v>
      </c>
      <c r="N19" s="7">
        <v>2</v>
      </c>
      <c r="O19" s="7">
        <v>-4.9033800895532877</v>
      </c>
    </row>
    <row r="20" spans="1:29" ht="34" x14ac:dyDescent="0.2">
      <c r="A20" s="6" t="s">
        <v>9</v>
      </c>
      <c r="B20" s="6" t="s">
        <v>41</v>
      </c>
      <c r="C20" s="49" t="s">
        <v>156</v>
      </c>
      <c r="D20" s="6">
        <v>3</v>
      </c>
      <c r="E20" s="9">
        <v>0.61433333333333329</v>
      </c>
      <c r="F20" s="9">
        <v>1.2575374936169559E-2</v>
      </c>
      <c r="G20" s="7">
        <v>18.320235523034459</v>
      </c>
      <c r="H20" s="7">
        <v>2.5</v>
      </c>
      <c r="I20" s="7">
        <v>-11.36</v>
      </c>
      <c r="J20" s="7">
        <v>0.06</v>
      </c>
      <c r="K20" s="7">
        <v>0.08</v>
      </c>
      <c r="L20" s="7">
        <v>0.18</v>
      </c>
      <c r="M20" s="7">
        <v>0.31808437400000006</v>
      </c>
      <c r="N20" s="7">
        <v>0.8</v>
      </c>
      <c r="O20" s="7">
        <v>-4.7404525351652174</v>
      </c>
    </row>
    <row r="21" spans="1:29" ht="34" x14ac:dyDescent="0.2">
      <c r="A21" s="6" t="s">
        <v>9</v>
      </c>
      <c r="B21" s="6" t="s">
        <v>42</v>
      </c>
      <c r="C21" s="49" t="s">
        <v>156</v>
      </c>
      <c r="D21" s="6">
        <v>3</v>
      </c>
      <c r="E21" s="9">
        <v>0.6336666666666666</v>
      </c>
      <c r="F21" s="9">
        <v>2.0003798651480498E-2</v>
      </c>
      <c r="G21" s="7">
        <v>12.423825313508679</v>
      </c>
      <c r="H21" s="7">
        <v>3</v>
      </c>
      <c r="I21" s="7">
        <v>-10.87</v>
      </c>
      <c r="J21" s="7">
        <v>0.04</v>
      </c>
      <c r="K21" s="7">
        <v>-0.91</v>
      </c>
      <c r="L21" s="7">
        <v>0.11</v>
      </c>
      <c r="M21" s="7">
        <v>-1.9387821506999998</v>
      </c>
      <c r="N21" s="7">
        <v>1</v>
      </c>
      <c r="O21" s="7">
        <v>-7.0430329012947315</v>
      </c>
    </row>
    <row r="22" spans="1:29" ht="34" x14ac:dyDescent="0.2">
      <c r="A22" s="6" t="s">
        <v>9</v>
      </c>
      <c r="B22" s="6" t="s">
        <v>43</v>
      </c>
      <c r="C22" s="49" t="s">
        <v>156</v>
      </c>
      <c r="D22" s="6">
        <v>3</v>
      </c>
      <c r="E22" s="9">
        <v>0.62300000000000011</v>
      </c>
      <c r="F22" s="9">
        <v>1.4990841904663266E-2</v>
      </c>
      <c r="G22" s="7">
        <v>15.62537337916365</v>
      </c>
      <c r="H22" s="7">
        <v>2.7</v>
      </c>
      <c r="I22" s="7">
        <v>-7.88</v>
      </c>
      <c r="J22" s="7">
        <v>0.01</v>
      </c>
      <c r="K22" s="7">
        <v>-0.01</v>
      </c>
      <c r="L22" s="7">
        <v>0.16</v>
      </c>
      <c r="M22" s="7">
        <v>-0.3367523591333334</v>
      </c>
      <c r="N22" s="7">
        <v>0.8</v>
      </c>
      <c r="O22" s="7">
        <v>-5.4172501291156685</v>
      </c>
    </row>
    <row r="23" spans="1:29" ht="34" x14ac:dyDescent="0.2">
      <c r="A23" s="6" t="s">
        <v>9</v>
      </c>
      <c r="B23" s="6" t="s">
        <v>44</v>
      </c>
      <c r="C23" s="49" t="s">
        <v>156</v>
      </c>
      <c r="D23" s="6">
        <v>3</v>
      </c>
      <c r="E23" s="9">
        <v>0.59266666666666667</v>
      </c>
      <c r="F23" s="9">
        <v>1.1202127244829052E-2</v>
      </c>
      <c r="G23" s="7">
        <v>25.428181213258469</v>
      </c>
      <c r="H23" s="7">
        <v>2.7</v>
      </c>
      <c r="I23" s="7">
        <v>-9.5</v>
      </c>
      <c r="J23" s="7">
        <v>0.02</v>
      </c>
      <c r="K23" s="7">
        <v>-0.67</v>
      </c>
      <c r="L23" s="7">
        <v>0.02</v>
      </c>
      <c r="M23" s="7">
        <v>1.0322537269999998</v>
      </c>
      <c r="N23" s="7">
        <v>0.5</v>
      </c>
      <c r="O23" s="7">
        <v>-3.9675963382911563</v>
      </c>
    </row>
    <row r="24" spans="1:29" ht="34" x14ac:dyDescent="0.2">
      <c r="A24" s="6" t="s">
        <v>9</v>
      </c>
      <c r="B24" s="6" t="s">
        <v>45</v>
      </c>
      <c r="C24" s="49" t="s">
        <v>156</v>
      </c>
      <c r="D24" s="6">
        <v>3</v>
      </c>
      <c r="E24" s="9">
        <v>0.59966666666666668</v>
      </c>
      <c r="F24" s="9">
        <v>2.1170030603370193E-3</v>
      </c>
      <c r="G24" s="7">
        <v>23.049675961142519</v>
      </c>
      <c r="H24" s="7">
        <v>2</v>
      </c>
      <c r="I24" s="7">
        <v>-10.07</v>
      </c>
      <c r="J24" s="7">
        <v>0.01</v>
      </c>
      <c r="K24" s="7">
        <v>-0.2</v>
      </c>
      <c r="L24" s="7">
        <v>0.03</v>
      </c>
      <c r="M24" s="7">
        <v>1.0236072056333334</v>
      </c>
      <c r="N24" s="7">
        <v>0.1</v>
      </c>
      <c r="O24" s="7">
        <v>-3.9962656047849645</v>
      </c>
    </row>
    <row r="25" spans="1:29" ht="34" x14ac:dyDescent="0.2">
      <c r="A25" s="6" t="s">
        <v>9</v>
      </c>
      <c r="B25" s="6" t="s">
        <v>46</v>
      </c>
      <c r="C25" s="49" t="s">
        <v>156</v>
      </c>
      <c r="D25" s="6">
        <v>3</v>
      </c>
      <c r="E25" s="9">
        <v>0.60666666666666658</v>
      </c>
      <c r="F25" s="9">
        <v>2.2870912591131609E-2</v>
      </c>
      <c r="G25" s="7">
        <v>20.846272676358112</v>
      </c>
      <c r="H25" s="7">
        <v>3.8</v>
      </c>
      <c r="I25" s="7">
        <v>-7.6</v>
      </c>
      <c r="J25" s="7">
        <v>0.02</v>
      </c>
      <c r="K25" s="7">
        <v>-0.43</v>
      </c>
      <c r="L25" s="7">
        <v>0.02</v>
      </c>
      <c r="M25" s="7">
        <v>0.32829700243333332</v>
      </c>
      <c r="N25" s="7">
        <v>1.1000000000000001</v>
      </c>
      <c r="O25" s="7">
        <v>-4.7079356776672734</v>
      </c>
    </row>
    <row r="26" spans="1:29" ht="34" x14ac:dyDescent="0.2">
      <c r="A26" s="6" t="s">
        <v>9</v>
      </c>
      <c r="B26" s="6" t="s">
        <v>47</v>
      </c>
      <c r="C26" s="49" t="s">
        <v>156</v>
      </c>
      <c r="D26" s="6">
        <v>3</v>
      </c>
      <c r="E26" s="9">
        <v>0.60833333333333328</v>
      </c>
      <c r="F26" s="9">
        <v>2.1215346453876127E-2</v>
      </c>
      <c r="G26" s="7">
        <v>20.294571220633959</v>
      </c>
      <c r="H26" s="7">
        <v>3.5</v>
      </c>
      <c r="I26" s="7">
        <v>-10.09</v>
      </c>
      <c r="J26" s="7">
        <v>0.02</v>
      </c>
      <c r="K26" s="7">
        <v>-0.8</v>
      </c>
      <c r="L26" s="7">
        <v>0.05</v>
      </c>
      <c r="M26" s="7">
        <v>-0.14689066170000001</v>
      </c>
      <c r="N26" s="7">
        <v>1.1000000000000001</v>
      </c>
      <c r="O26" s="7">
        <v>-5.1861282357335217</v>
      </c>
    </row>
    <row r="27" spans="1:29" ht="34" x14ac:dyDescent="0.2">
      <c r="A27" s="6" t="s">
        <v>9</v>
      </c>
      <c r="B27" s="6" t="s">
        <v>48</v>
      </c>
      <c r="C27" s="49" t="s">
        <v>156</v>
      </c>
      <c r="D27" s="6">
        <v>3</v>
      </c>
      <c r="E27" s="9">
        <v>0.64900000000000002</v>
      </c>
      <c r="F27" s="9">
        <v>4.8506633852238745E-2</v>
      </c>
      <c r="G27" s="22">
        <v>8.2539812894405031</v>
      </c>
      <c r="H27" s="7">
        <v>6</v>
      </c>
      <c r="I27" s="7">
        <v>-9.31</v>
      </c>
      <c r="J27" s="7">
        <v>0.03</v>
      </c>
      <c r="K27" s="7">
        <v>-0.7</v>
      </c>
      <c r="L27" s="7">
        <v>0.16</v>
      </c>
      <c r="M27" s="7">
        <v>-2.6931997713333331</v>
      </c>
      <c r="N27" s="7">
        <v>2.4</v>
      </c>
      <c r="O27" s="7">
        <v>-7.83508945460789</v>
      </c>
    </row>
    <row r="28" spans="1:29" ht="34" x14ac:dyDescent="0.2">
      <c r="A28" s="6" t="s">
        <v>146</v>
      </c>
      <c r="B28" s="6" t="s">
        <v>49</v>
      </c>
      <c r="C28" s="49" t="s">
        <v>156</v>
      </c>
      <c r="D28" s="6">
        <v>2</v>
      </c>
      <c r="E28" s="9">
        <v>0.63900000000000001</v>
      </c>
      <c r="F28" s="9">
        <v>6.0979768271385848E-2</v>
      </c>
      <c r="G28" s="7">
        <v>11.00348430517559</v>
      </c>
      <c r="H28" s="7">
        <v>6.7</v>
      </c>
      <c r="I28" s="7">
        <v>-9.84</v>
      </c>
      <c r="J28" s="7">
        <v>0.02</v>
      </c>
      <c r="K28" s="7">
        <v>-0.54</v>
      </c>
      <c r="L28" s="7">
        <v>0.12</v>
      </c>
      <c r="M28" s="7">
        <v>-1.8</v>
      </c>
      <c r="N28" s="15">
        <v>2.1</v>
      </c>
      <c r="O28" s="7">
        <v>-6.918426157159562</v>
      </c>
    </row>
    <row r="29" spans="1:29" ht="34" x14ac:dyDescent="0.2">
      <c r="A29" s="6" t="s">
        <v>9</v>
      </c>
      <c r="B29" s="6" t="s">
        <v>50</v>
      </c>
      <c r="C29" s="49" t="s">
        <v>156</v>
      </c>
      <c r="D29" s="6">
        <v>3</v>
      </c>
      <c r="E29" s="9">
        <v>0.59466666666666657</v>
      </c>
      <c r="F29" s="9">
        <v>3.2864725341189671E-2</v>
      </c>
      <c r="G29" s="7">
        <v>24.936802259599609</v>
      </c>
      <c r="H29" s="7">
        <v>5.0999999999999996</v>
      </c>
      <c r="I29" s="7">
        <v>-9.64</v>
      </c>
      <c r="J29" s="7">
        <v>0.02</v>
      </c>
      <c r="K29" s="7">
        <v>-0.54</v>
      </c>
      <c r="L29" s="7">
        <v>0.04</v>
      </c>
      <c r="M29" s="7">
        <v>1</v>
      </c>
      <c r="N29" s="7">
        <v>1.6</v>
      </c>
      <c r="O29" s="7">
        <v>-4.0038305279554089</v>
      </c>
    </row>
    <row r="30" spans="1:29" ht="34" x14ac:dyDescent="0.2">
      <c r="A30" s="6" t="s">
        <v>9</v>
      </c>
      <c r="B30" s="6" t="s">
        <v>51</v>
      </c>
      <c r="C30" s="49" t="s">
        <v>156</v>
      </c>
      <c r="D30" s="6">
        <v>3</v>
      </c>
      <c r="E30" s="9">
        <v>0.59333333333333338</v>
      </c>
      <c r="F30" s="9">
        <v>7.6329630843594565E-3</v>
      </c>
      <c r="G30" s="7">
        <v>25.18784576378992</v>
      </c>
      <c r="H30" s="7">
        <v>2.2999999999999998</v>
      </c>
      <c r="I30" s="7">
        <v>-9.6300000000000008</v>
      </c>
      <c r="J30" s="7">
        <v>0.04</v>
      </c>
      <c r="K30" s="7">
        <v>-0.13</v>
      </c>
      <c r="L30" s="7">
        <v>0.03</v>
      </c>
      <c r="M30" s="7">
        <v>1.5</v>
      </c>
      <c r="N30" s="7">
        <v>0.4</v>
      </c>
      <c r="O30" s="7">
        <v>-3.5036307445410966</v>
      </c>
    </row>
    <row r="31" spans="1:29" ht="34" x14ac:dyDescent="0.2">
      <c r="A31" s="6" t="s">
        <v>9</v>
      </c>
      <c r="B31" s="6" t="s">
        <v>52</v>
      </c>
      <c r="C31" s="49" t="s">
        <v>156</v>
      </c>
      <c r="D31" s="6">
        <v>3</v>
      </c>
      <c r="E31" s="9">
        <v>0.59500000000000008</v>
      </c>
      <c r="F31" s="9">
        <v>3.6902535846958684E-2</v>
      </c>
      <c r="G31" s="7">
        <v>24.88626361116841</v>
      </c>
      <c r="H31" s="7">
        <v>5.5</v>
      </c>
      <c r="I31" s="7">
        <v>-11.27</v>
      </c>
      <c r="J31" s="7">
        <v>0.04</v>
      </c>
      <c r="K31" s="7">
        <v>-0.34</v>
      </c>
      <c r="L31" s="7">
        <v>0.03</v>
      </c>
      <c r="M31" s="7">
        <v>1.2</v>
      </c>
      <c r="N31" s="7">
        <v>1.8</v>
      </c>
      <c r="O31" s="7">
        <v>-3.8050137849086276</v>
      </c>
    </row>
    <row r="32" spans="1:29" ht="34" x14ac:dyDescent="0.2">
      <c r="A32" s="6" t="s">
        <v>9</v>
      </c>
      <c r="B32" s="6" t="s">
        <v>53</v>
      </c>
      <c r="C32" s="49" t="s">
        <v>156</v>
      </c>
      <c r="D32" s="6">
        <v>3</v>
      </c>
      <c r="E32" s="9">
        <v>0.60566666666666669</v>
      </c>
      <c r="F32" s="9">
        <v>4.6902829530681589E-2</v>
      </c>
      <c r="G32" s="7">
        <v>21.480197443223709</v>
      </c>
      <c r="H32" s="7">
        <v>6.8</v>
      </c>
      <c r="I32" s="7">
        <v>-9</v>
      </c>
      <c r="J32" s="7">
        <v>0.03</v>
      </c>
      <c r="K32" s="7">
        <v>-0.54</v>
      </c>
      <c r="L32" s="7">
        <v>7.0000000000000007E-2</v>
      </c>
      <c r="M32" s="7">
        <v>0.3</v>
      </c>
      <c r="N32" s="7">
        <v>2.2999999999999998</v>
      </c>
      <c r="O32" s="7">
        <v>-4.7306093375093718</v>
      </c>
    </row>
    <row r="33" spans="1:15" ht="34" x14ac:dyDescent="0.2">
      <c r="A33" s="6" t="s">
        <v>9</v>
      </c>
      <c r="B33" s="6" t="s">
        <v>54</v>
      </c>
      <c r="C33" s="49" t="s">
        <v>156</v>
      </c>
      <c r="D33" s="6">
        <v>3</v>
      </c>
      <c r="E33" s="9">
        <v>0.59599999999999997</v>
      </c>
      <c r="F33" s="9">
        <v>4.9969473015544219E-3</v>
      </c>
      <c r="G33" s="7">
        <v>24.27980606672164</v>
      </c>
      <c r="H33" s="7">
        <v>2.1</v>
      </c>
      <c r="I33" s="7">
        <v>-10.050000000000001</v>
      </c>
      <c r="J33" s="7">
        <v>0.02</v>
      </c>
      <c r="K33" s="7">
        <v>-0.56000000000000005</v>
      </c>
      <c r="L33" s="7">
        <v>0.03</v>
      </c>
      <c r="M33" s="7">
        <v>0.9</v>
      </c>
      <c r="N33" s="7">
        <v>0.2</v>
      </c>
      <c r="O33" s="7">
        <v>-4.1089683517230515</v>
      </c>
    </row>
    <row r="34" spans="1:15" ht="34" x14ac:dyDescent="0.2">
      <c r="A34" s="6" t="s">
        <v>9</v>
      </c>
      <c r="B34" s="6" t="s">
        <v>55</v>
      </c>
      <c r="C34" s="49" t="s">
        <v>156</v>
      </c>
      <c r="D34" s="6">
        <v>3</v>
      </c>
      <c r="E34" s="9">
        <v>0.60066666666666668</v>
      </c>
      <c r="F34" s="9">
        <v>1.7438907361747691E-2</v>
      </c>
      <c r="G34" s="7">
        <v>22.77551888093533</v>
      </c>
      <c r="H34" s="7">
        <v>3.1</v>
      </c>
      <c r="I34" s="7">
        <v>-10.24</v>
      </c>
      <c r="J34" s="7">
        <v>0.06</v>
      </c>
      <c r="K34" s="7">
        <v>-0.59</v>
      </c>
      <c r="L34" s="7">
        <v>0.08</v>
      </c>
      <c r="M34" s="7">
        <v>0.6</v>
      </c>
      <c r="N34" s="7">
        <v>0.9</v>
      </c>
      <c r="O34" s="7">
        <v>-4.4205989744903409</v>
      </c>
    </row>
    <row r="35" spans="1:15" ht="34" x14ac:dyDescent="0.2">
      <c r="A35" s="6" t="s">
        <v>9</v>
      </c>
      <c r="B35" s="6" t="s">
        <v>56</v>
      </c>
      <c r="C35" s="49" t="s">
        <v>156</v>
      </c>
      <c r="D35" s="6">
        <v>5</v>
      </c>
      <c r="E35" s="9">
        <v>0.58260000000000001</v>
      </c>
      <c r="F35" s="9">
        <v>2.8255108908138316E-2</v>
      </c>
      <c r="G35" s="22">
        <v>29.306319994529289</v>
      </c>
      <c r="H35" s="7">
        <v>5</v>
      </c>
      <c r="I35" s="7">
        <v>-10.46</v>
      </c>
      <c r="J35" s="7">
        <v>0.42</v>
      </c>
      <c r="K35" s="7">
        <v>-0.87</v>
      </c>
      <c r="L35" s="7">
        <v>0.41</v>
      </c>
      <c r="M35" s="7">
        <v>1.6</v>
      </c>
      <c r="N35" s="7">
        <v>2.2000000000000002</v>
      </c>
      <c r="O35" s="7">
        <v>-3.3703208504595397</v>
      </c>
    </row>
    <row r="36" spans="1:15" ht="34" x14ac:dyDescent="0.2">
      <c r="A36" s="10" t="s">
        <v>9</v>
      </c>
      <c r="B36" s="10" t="s">
        <v>57</v>
      </c>
      <c r="C36" s="50" t="s">
        <v>156</v>
      </c>
      <c r="D36" s="10">
        <v>4</v>
      </c>
      <c r="E36" s="16">
        <v>0.59675</v>
      </c>
      <c r="F36" s="14">
        <v>3.2170685889621242E-2</v>
      </c>
      <c r="G36" s="17">
        <v>24.385538293245759</v>
      </c>
      <c r="H36" s="17">
        <v>5.0999999999999996</v>
      </c>
      <c r="I36" s="11">
        <v>-10.35</v>
      </c>
      <c r="J36" s="11">
        <v>1.53</v>
      </c>
      <c r="K36" s="11">
        <v>-0.13</v>
      </c>
      <c r="L36" s="11">
        <v>0.11</v>
      </c>
      <c r="M36" s="11">
        <v>1.3248448704774998</v>
      </c>
      <c r="N36" s="11">
        <v>2</v>
      </c>
      <c r="O36" s="11">
        <v>-3.6848493379524552</v>
      </c>
    </row>
    <row r="38" spans="1:15" x14ac:dyDescent="0.2">
      <c r="A38" s="1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9572E-143B-5E43-B282-C373A19BE3A2}">
  <dimension ref="A1:K11"/>
  <sheetViews>
    <sheetView workbookViewId="0">
      <selection activeCell="A3" sqref="A3:K11"/>
    </sheetView>
  </sheetViews>
  <sheetFormatPr baseColWidth="10" defaultRowHeight="16" x14ac:dyDescent="0.2"/>
  <sheetData>
    <row r="1" spans="1:11" x14ac:dyDescent="0.2">
      <c r="A1" s="1" t="s">
        <v>63</v>
      </c>
      <c r="B1" s="1" t="s">
        <v>107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7" thickBot="1" x14ac:dyDescent="0.25">
      <c r="A3" s="43" t="s">
        <v>59</v>
      </c>
      <c r="B3" s="43"/>
      <c r="C3" s="43"/>
      <c r="D3" s="43"/>
      <c r="E3" s="43"/>
      <c r="F3" s="43"/>
      <c r="G3" s="43"/>
      <c r="H3" s="43"/>
      <c r="I3" s="42" t="s">
        <v>60</v>
      </c>
      <c r="J3" s="44" t="s">
        <v>68</v>
      </c>
      <c r="K3" s="44" t="s">
        <v>66</v>
      </c>
    </row>
    <row r="4" spans="1:11" ht="17" thickTop="1" x14ac:dyDescent="0.2">
      <c r="A4" s="28"/>
      <c r="B4" s="28" t="s">
        <v>103</v>
      </c>
      <c r="C4" s="28"/>
      <c r="D4" s="28"/>
      <c r="E4" s="28"/>
      <c r="F4" s="28"/>
      <c r="G4" s="28"/>
      <c r="H4" s="28"/>
      <c r="I4" s="6"/>
      <c r="J4" s="28"/>
      <c r="K4" s="28"/>
    </row>
    <row r="5" spans="1:11" x14ac:dyDescent="0.2">
      <c r="A5" s="28"/>
      <c r="B5" s="28"/>
      <c r="C5" s="28" t="s">
        <v>100</v>
      </c>
      <c r="D5" s="28"/>
      <c r="E5" s="28"/>
      <c r="F5" s="28"/>
      <c r="G5" s="28"/>
      <c r="H5" s="28"/>
      <c r="I5" s="6">
        <v>21.6</v>
      </c>
      <c r="J5" s="6">
        <v>1.2</v>
      </c>
      <c r="K5" s="6">
        <v>3.2</v>
      </c>
    </row>
    <row r="6" spans="1:11" x14ac:dyDescent="0.2">
      <c r="A6" s="28"/>
      <c r="B6" s="28"/>
      <c r="C6" s="28" t="s">
        <v>101</v>
      </c>
      <c r="D6" s="28"/>
      <c r="E6" s="28"/>
      <c r="F6" s="28"/>
      <c r="G6" s="28"/>
      <c r="H6" s="28"/>
      <c r="I6" s="7">
        <v>13.2</v>
      </c>
      <c r="J6" s="7">
        <v>0.9</v>
      </c>
      <c r="K6" s="6">
        <v>3.2</v>
      </c>
    </row>
    <row r="7" spans="1:11" x14ac:dyDescent="0.2">
      <c r="A7" s="28"/>
      <c r="B7" s="28"/>
      <c r="C7" s="28" t="s">
        <v>102</v>
      </c>
      <c r="D7" s="28"/>
      <c r="E7" s="28"/>
      <c r="F7" s="28"/>
      <c r="G7" s="28"/>
      <c r="H7" s="28"/>
      <c r="I7" s="7">
        <f>I6-I5</f>
        <v>-8.4000000000000021</v>
      </c>
      <c r="J7" s="7">
        <v>1.5</v>
      </c>
      <c r="K7" s="7">
        <f>J7*1.96</f>
        <v>2.94</v>
      </c>
    </row>
    <row r="8" spans="1:11" x14ac:dyDescent="0.2">
      <c r="A8" s="28"/>
      <c r="B8" s="28"/>
      <c r="C8" s="28"/>
      <c r="D8" s="28"/>
      <c r="E8" s="28"/>
      <c r="F8" s="28"/>
      <c r="G8" s="28"/>
      <c r="H8" s="28"/>
      <c r="I8" s="7"/>
      <c r="J8" s="6"/>
      <c r="K8" s="6"/>
    </row>
    <row r="9" spans="1:11" x14ac:dyDescent="0.2">
      <c r="A9" s="28"/>
      <c r="B9" s="28"/>
      <c r="C9" s="28" t="s">
        <v>104</v>
      </c>
      <c r="D9" s="28"/>
      <c r="E9" s="28"/>
      <c r="F9" s="28"/>
      <c r="G9" s="28"/>
      <c r="H9" s="28"/>
      <c r="I9" s="7">
        <v>-4.5999999999999996</v>
      </c>
      <c r="J9" s="6">
        <v>0.3</v>
      </c>
      <c r="K9" s="7">
        <f>J9*1.96</f>
        <v>0.58799999999999997</v>
      </c>
    </row>
    <row r="10" spans="1:11" x14ac:dyDescent="0.2">
      <c r="A10" s="28"/>
      <c r="B10" s="28"/>
      <c r="C10" s="28" t="s">
        <v>105</v>
      </c>
      <c r="D10" s="28"/>
      <c r="E10" s="28"/>
      <c r="F10" s="28"/>
      <c r="G10" s="28"/>
      <c r="H10" s="28"/>
      <c r="I10" s="7">
        <v>-4.7</v>
      </c>
      <c r="J10" s="6">
        <v>0.3</v>
      </c>
      <c r="K10" s="7">
        <f>J10*1.96</f>
        <v>0.58799999999999997</v>
      </c>
    </row>
    <row r="11" spans="1:11" x14ac:dyDescent="0.2">
      <c r="A11" s="29"/>
      <c r="B11" s="29"/>
      <c r="C11" s="29" t="s">
        <v>106</v>
      </c>
      <c r="D11" s="29"/>
      <c r="E11" s="29"/>
      <c r="F11" s="29"/>
      <c r="G11" s="29"/>
      <c r="H11" s="29"/>
      <c r="I11" s="11">
        <f>I10-I9</f>
        <v>-0.10000000000000053</v>
      </c>
      <c r="J11" s="10">
        <v>0.4</v>
      </c>
      <c r="K11" s="11">
        <f>J11*1.96</f>
        <v>0.78400000000000003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6CA3-DC71-D645-BF3A-D8442F6D2E6E}">
  <dimension ref="A1:K38"/>
  <sheetViews>
    <sheetView tabSelected="1" zoomScale="110" zoomScaleNormal="110" workbookViewId="0">
      <selection activeCell="B1" sqref="B1"/>
    </sheetView>
  </sheetViews>
  <sheetFormatPr baseColWidth="10" defaultRowHeight="16" x14ac:dyDescent="0.2"/>
  <cols>
    <col min="1" max="1" width="28" style="1" customWidth="1"/>
    <col min="2" max="2" width="47.33203125" style="1" bestFit="1" customWidth="1"/>
    <col min="3" max="3" width="15.83203125" style="1" customWidth="1"/>
    <col min="4" max="16384" width="10.83203125" style="1"/>
  </cols>
  <sheetData>
    <row r="1" spans="1:11" x14ac:dyDescent="0.2">
      <c r="A1" s="1" t="s">
        <v>148</v>
      </c>
      <c r="B1" s="1" t="s">
        <v>108</v>
      </c>
    </row>
    <row r="3" spans="1:11" ht="17" thickBot="1" x14ac:dyDescent="0.25">
      <c r="A3" s="42" t="s">
        <v>0</v>
      </c>
      <c r="B3" s="42" t="s">
        <v>1</v>
      </c>
      <c r="C3" s="42" t="s">
        <v>2</v>
      </c>
    </row>
    <row r="4" spans="1:11" ht="17" thickTop="1" x14ac:dyDescent="0.2">
      <c r="A4" s="28" t="s">
        <v>72</v>
      </c>
      <c r="B4" s="18">
        <v>0.52</v>
      </c>
      <c r="C4" s="7">
        <v>-4.3</v>
      </c>
    </row>
    <row r="5" spans="1:11" ht="17" x14ac:dyDescent="0.25">
      <c r="A5" s="28" t="s">
        <v>73</v>
      </c>
      <c r="B5" s="18">
        <v>0.45</v>
      </c>
      <c r="C5" s="7">
        <v>-3.7</v>
      </c>
      <c r="E5" s="48"/>
    </row>
    <row r="6" spans="1:11" ht="17" x14ac:dyDescent="0.25">
      <c r="A6" s="28" t="s">
        <v>74</v>
      </c>
      <c r="B6" s="18">
        <v>0.32</v>
      </c>
      <c r="C6" s="7">
        <v>-2.7</v>
      </c>
      <c r="E6" s="48"/>
    </row>
    <row r="7" spans="1:11" ht="17" x14ac:dyDescent="0.25">
      <c r="A7" s="28" t="s">
        <v>75</v>
      </c>
      <c r="B7" s="18">
        <v>0.27</v>
      </c>
      <c r="C7" s="7">
        <v>-2.2999999999999998</v>
      </c>
      <c r="E7" s="48"/>
      <c r="K7" s="30"/>
    </row>
    <row r="8" spans="1:11" ht="17" x14ac:dyDescent="0.25">
      <c r="A8" s="28" t="s">
        <v>76</v>
      </c>
      <c r="B8" s="18">
        <v>0.27</v>
      </c>
      <c r="C8" s="7">
        <v>-2.2999999999999998</v>
      </c>
      <c r="E8" s="48"/>
      <c r="K8" s="30"/>
    </row>
    <row r="9" spans="1:11" ht="17" x14ac:dyDescent="0.25">
      <c r="A9" s="28" t="s">
        <v>77</v>
      </c>
      <c r="B9" s="18">
        <v>0.27</v>
      </c>
      <c r="C9" s="7">
        <v>-2.2999999999999998</v>
      </c>
      <c r="E9" s="48"/>
      <c r="K9" s="30"/>
    </row>
    <row r="10" spans="1:11" ht="17" x14ac:dyDescent="0.25">
      <c r="A10" s="28" t="s">
        <v>78</v>
      </c>
      <c r="B10" s="18">
        <v>0.26</v>
      </c>
      <c r="C10" s="7">
        <v>-2.2000000000000002</v>
      </c>
      <c r="E10" s="48"/>
      <c r="K10" s="30"/>
    </row>
    <row r="11" spans="1:11" ht="17" x14ac:dyDescent="0.25">
      <c r="A11" s="28" t="s">
        <v>79</v>
      </c>
      <c r="B11" s="18">
        <v>0.15</v>
      </c>
      <c r="C11" s="7">
        <v>-1.3</v>
      </c>
      <c r="E11" s="48"/>
      <c r="K11" s="30"/>
    </row>
    <row r="12" spans="1:11" ht="17" x14ac:dyDescent="0.25">
      <c r="A12" s="28" t="s">
        <v>80</v>
      </c>
      <c r="B12" s="18">
        <v>0.14000000000000001</v>
      </c>
      <c r="C12" s="7">
        <v>-1.2</v>
      </c>
      <c r="E12" s="48"/>
      <c r="K12" s="30"/>
    </row>
    <row r="13" spans="1:11" ht="17" x14ac:dyDescent="0.25">
      <c r="A13" s="1" t="s">
        <v>85</v>
      </c>
      <c r="B13" s="18">
        <v>0.15</v>
      </c>
      <c r="C13" s="7">
        <v>-1.2</v>
      </c>
      <c r="E13" s="48"/>
      <c r="K13" s="30"/>
    </row>
    <row r="14" spans="1:11" ht="17" x14ac:dyDescent="0.25">
      <c r="A14" s="28" t="s">
        <v>86</v>
      </c>
      <c r="B14" s="18">
        <v>0.63</v>
      </c>
      <c r="C14" s="7">
        <v>-5.3</v>
      </c>
      <c r="E14" s="48"/>
      <c r="K14" s="30"/>
    </row>
    <row r="15" spans="1:11" ht="17" x14ac:dyDescent="0.25">
      <c r="A15" s="28" t="s">
        <v>87</v>
      </c>
      <c r="B15" s="18">
        <v>0.28000000000000003</v>
      </c>
      <c r="C15" s="7">
        <v>-2.4</v>
      </c>
      <c r="E15" s="48"/>
      <c r="K15" s="30"/>
    </row>
    <row r="16" spans="1:11" ht="17" x14ac:dyDescent="0.25">
      <c r="A16" s="28" t="s">
        <v>88</v>
      </c>
      <c r="B16" s="18">
        <v>0.27</v>
      </c>
      <c r="C16" s="7">
        <v>-2.2000000000000002</v>
      </c>
      <c r="E16" s="48"/>
      <c r="K16" s="30"/>
    </row>
    <row r="17" spans="1:11" ht="17" x14ac:dyDescent="0.25">
      <c r="A17" s="28" t="s">
        <v>81</v>
      </c>
      <c r="B17" s="18">
        <v>0.39</v>
      </c>
      <c r="C17" s="7">
        <v>-3.2</v>
      </c>
      <c r="E17" s="48"/>
      <c r="K17" s="30"/>
    </row>
    <row r="18" spans="1:11" ht="17" x14ac:dyDescent="0.25">
      <c r="A18" s="28" t="s">
        <v>82</v>
      </c>
      <c r="B18" s="18">
        <v>0.43</v>
      </c>
      <c r="C18" s="7">
        <v>-3.6</v>
      </c>
      <c r="E18" s="48"/>
      <c r="K18" s="30"/>
    </row>
    <row r="19" spans="1:11" ht="17" x14ac:dyDescent="0.25">
      <c r="A19" s="28" t="s">
        <v>83</v>
      </c>
      <c r="B19" s="18">
        <v>0.41</v>
      </c>
      <c r="C19" s="7">
        <v>-3.5</v>
      </c>
      <c r="E19" s="48"/>
      <c r="K19" s="30"/>
    </row>
    <row r="20" spans="1:11" ht="17" x14ac:dyDescent="0.25">
      <c r="A20" s="28" t="s">
        <v>84</v>
      </c>
      <c r="B20" s="18">
        <v>0.4</v>
      </c>
      <c r="C20" s="7">
        <v>-3.4</v>
      </c>
      <c r="E20" s="48"/>
      <c r="K20" s="30"/>
    </row>
    <row r="21" spans="1:11" ht="17" x14ac:dyDescent="0.25">
      <c r="A21" s="28" t="s">
        <v>89</v>
      </c>
      <c r="B21" s="18">
        <v>0.49</v>
      </c>
      <c r="C21" s="7">
        <v>-4.0999999999999996</v>
      </c>
      <c r="E21" s="48"/>
      <c r="K21" s="30"/>
    </row>
    <row r="22" spans="1:11" ht="17" x14ac:dyDescent="0.25">
      <c r="A22" s="1" t="s">
        <v>90</v>
      </c>
      <c r="B22" s="6">
        <v>0.51</v>
      </c>
      <c r="C22" s="6">
        <v>-4.3</v>
      </c>
      <c r="K22" s="30"/>
    </row>
    <row r="23" spans="1:11" ht="17" x14ac:dyDescent="0.25">
      <c r="A23" s="29" t="s">
        <v>149</v>
      </c>
      <c r="B23" s="19">
        <v>0.56000000000000005</v>
      </c>
      <c r="C23" s="11">
        <v>-4.7</v>
      </c>
      <c r="K23" s="30"/>
    </row>
    <row r="24" spans="1:11" ht="17" x14ac:dyDescent="0.25">
      <c r="K24" s="30"/>
    </row>
    <row r="25" spans="1:11" ht="17" x14ac:dyDescent="0.25">
      <c r="K25" s="30"/>
    </row>
    <row r="26" spans="1:11" ht="17" x14ac:dyDescent="0.25">
      <c r="J26" s="31"/>
      <c r="K26" s="30"/>
    </row>
    <row r="27" spans="1:11" ht="17" x14ac:dyDescent="0.25">
      <c r="J27" s="31"/>
      <c r="K27" s="30"/>
    </row>
    <row r="28" spans="1:11" ht="17" x14ac:dyDescent="0.25">
      <c r="J28" s="31"/>
      <c r="K28" s="30"/>
    </row>
    <row r="29" spans="1:11" ht="17" x14ac:dyDescent="0.25">
      <c r="J29" s="31"/>
    </row>
    <row r="30" spans="1:11" ht="17" x14ac:dyDescent="0.25">
      <c r="J30" s="31"/>
    </row>
    <row r="31" spans="1:11" ht="17" x14ac:dyDescent="0.25">
      <c r="J31" s="31"/>
    </row>
    <row r="32" spans="1:11" ht="17" x14ac:dyDescent="0.25">
      <c r="J32" s="31"/>
    </row>
    <row r="33" spans="10:10" ht="17" x14ac:dyDescent="0.25">
      <c r="J33" s="31"/>
    </row>
    <row r="34" spans="10:10" ht="17" x14ac:dyDescent="0.25">
      <c r="J34" s="31"/>
    </row>
    <row r="35" spans="10:10" ht="17" x14ac:dyDescent="0.25">
      <c r="J35" s="31"/>
    </row>
    <row r="36" spans="10:10" ht="17" x14ac:dyDescent="0.25">
      <c r="J36" s="31"/>
    </row>
    <row r="37" spans="10:10" ht="17" x14ac:dyDescent="0.25">
      <c r="J37" s="31"/>
    </row>
    <row r="38" spans="10:10" ht="17" x14ac:dyDescent="0.25">
      <c r="J38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FB390-E8EC-5147-AC0F-DB2B89090C1F}">
  <dimension ref="A1:AK38"/>
  <sheetViews>
    <sheetView workbookViewId="0"/>
  </sheetViews>
  <sheetFormatPr baseColWidth="10" defaultRowHeight="16" x14ac:dyDescent="0.2"/>
  <cols>
    <col min="1" max="1" width="7" style="1" customWidth="1"/>
    <col min="2" max="2" width="4.83203125" style="1" customWidth="1"/>
    <col min="3" max="3" width="7.33203125" style="1" customWidth="1"/>
    <col min="4" max="4" width="10" style="1" customWidth="1"/>
    <col min="5" max="5" width="9.33203125" style="1" customWidth="1"/>
    <col min="6" max="6" width="5.6640625" style="1" customWidth="1"/>
    <col min="7" max="7" width="5.83203125" style="1" customWidth="1"/>
    <col min="8" max="8" width="10.83203125" style="1"/>
    <col min="9" max="9" width="12.83203125" style="1" bestFit="1" customWidth="1"/>
    <col min="10" max="10" width="13" style="1" bestFit="1" customWidth="1"/>
    <col min="11" max="14" width="10.83203125" style="1"/>
    <col min="15" max="15" width="12.83203125" style="1" bestFit="1" customWidth="1"/>
    <col min="16" max="16" width="13" style="1" bestFit="1" customWidth="1"/>
    <col min="17" max="16384" width="10.83203125" style="1"/>
  </cols>
  <sheetData>
    <row r="1" spans="1:37" x14ac:dyDescent="0.2">
      <c r="A1" s="1" t="s">
        <v>166</v>
      </c>
      <c r="B1" s="1" t="s">
        <v>65</v>
      </c>
    </row>
    <row r="3" spans="1:37" ht="69" thickBot="1" x14ac:dyDescent="0.25">
      <c r="A3" s="41" t="s">
        <v>153</v>
      </c>
      <c r="B3" s="42" t="s">
        <v>4</v>
      </c>
      <c r="C3" s="41" t="s">
        <v>152</v>
      </c>
      <c r="D3" s="42" t="s">
        <v>10</v>
      </c>
      <c r="E3" s="41" t="s">
        <v>151</v>
      </c>
      <c r="F3" s="41" t="s">
        <v>150</v>
      </c>
      <c r="G3" s="41" t="s">
        <v>154</v>
      </c>
      <c r="H3" s="41" t="s">
        <v>157</v>
      </c>
      <c r="I3" s="41" t="s">
        <v>158</v>
      </c>
      <c r="J3" s="41" t="s">
        <v>159</v>
      </c>
      <c r="K3" s="41" t="s">
        <v>160</v>
      </c>
      <c r="L3" s="41" t="s">
        <v>161</v>
      </c>
      <c r="M3" s="41" t="s">
        <v>154</v>
      </c>
      <c r="N3" s="41" t="s">
        <v>157</v>
      </c>
      <c r="O3" s="41" t="s">
        <v>159</v>
      </c>
      <c r="P3" s="41" t="s">
        <v>158</v>
      </c>
      <c r="Q3" s="41" t="s">
        <v>162</v>
      </c>
      <c r="R3" s="41" t="s">
        <v>161</v>
      </c>
      <c r="S3" s="41" t="s">
        <v>163</v>
      </c>
      <c r="T3" s="41" t="s">
        <v>161</v>
      </c>
      <c r="U3" s="41" t="s">
        <v>164</v>
      </c>
      <c r="V3" s="41" t="s">
        <v>161</v>
      </c>
      <c r="W3" s="41" t="s">
        <v>165</v>
      </c>
    </row>
    <row r="4" spans="1:37" ht="35" thickTop="1" x14ac:dyDescent="0.2">
      <c r="A4" s="6" t="s">
        <v>7</v>
      </c>
      <c r="B4" s="28" t="s">
        <v>91</v>
      </c>
      <c r="C4" s="6" t="s">
        <v>11</v>
      </c>
      <c r="D4" s="49" t="s">
        <v>155</v>
      </c>
      <c r="E4" s="6">
        <v>3</v>
      </c>
      <c r="F4" s="6">
        <v>0.628</v>
      </c>
      <c r="G4" s="6">
        <v>1.2E-2</v>
      </c>
      <c r="H4" s="9">
        <f t="shared" ref="H4:H36" si="0">ABS(F4-I4)</f>
        <v>3.0000000000000027E-2</v>
      </c>
      <c r="I4" s="6">
        <v>0.59799999999999998</v>
      </c>
      <c r="J4" s="6">
        <v>0.65800000000000003</v>
      </c>
      <c r="K4" s="8">
        <v>14.208348798346909</v>
      </c>
      <c r="L4" s="8">
        <f t="shared" ref="L4:L36" si="1">M4*SQRT(E4)</f>
        <v>6.5441336327705226</v>
      </c>
      <c r="M4" s="7">
        <v>3.778257314492945</v>
      </c>
      <c r="N4" s="7">
        <f t="shared" ref="N4:N17" si="2">M4*1.96</f>
        <v>7.405384336406172</v>
      </c>
      <c r="O4" s="7">
        <f t="shared" ref="O4:O17" si="3">K4-N4</f>
        <v>6.8029644619407375</v>
      </c>
      <c r="P4" s="7">
        <f t="shared" ref="P4:P17" si="4">K4+N4</f>
        <v>21.613733134753083</v>
      </c>
      <c r="Q4" s="38">
        <v>-5.0199999999999996</v>
      </c>
      <c r="R4" s="38">
        <v>2.9000000000000001E-2</v>
      </c>
      <c r="S4" s="38">
        <v>2.13</v>
      </c>
      <c r="T4" s="38">
        <v>0.105</v>
      </c>
      <c r="U4" s="24">
        <v>1.48</v>
      </c>
      <c r="V4" s="24">
        <v>0.78628906140122623</v>
      </c>
      <c r="W4" s="24">
        <v>-3.6207340602563356</v>
      </c>
      <c r="X4" s="32"/>
    </row>
    <row r="5" spans="1:37" ht="34" x14ac:dyDescent="0.2">
      <c r="A5" s="6" t="s">
        <v>7</v>
      </c>
      <c r="B5" s="28" t="s">
        <v>91</v>
      </c>
      <c r="C5" s="6" t="s">
        <v>12</v>
      </c>
      <c r="D5" s="49" t="s">
        <v>155</v>
      </c>
      <c r="E5" s="6">
        <v>3</v>
      </c>
      <c r="F5" s="6">
        <v>0.65600000000000003</v>
      </c>
      <c r="G5" s="6">
        <v>8.9999999999999993E-3</v>
      </c>
      <c r="H5" s="9">
        <f t="shared" si="0"/>
        <v>2.200000000000002E-2</v>
      </c>
      <c r="I5" s="6">
        <v>0.63400000000000001</v>
      </c>
      <c r="J5" s="6">
        <v>0.67800000000000005</v>
      </c>
      <c r="K5" s="8">
        <v>6.0036130769652418</v>
      </c>
      <c r="L5" s="8">
        <f t="shared" si="1"/>
        <v>4.4022182951784785</v>
      </c>
      <c r="M5" s="7">
        <v>2.5416219177527899</v>
      </c>
      <c r="N5" s="7">
        <f t="shared" si="2"/>
        <v>4.9815789587954677</v>
      </c>
      <c r="O5" s="7">
        <f t="shared" si="3"/>
        <v>1.0220341181697741</v>
      </c>
      <c r="P5" s="7">
        <f t="shared" si="4"/>
        <v>10.98519203576071</v>
      </c>
      <c r="Q5" s="38">
        <v>-5.38</v>
      </c>
      <c r="R5" s="38">
        <v>6.0999999999999999E-2</v>
      </c>
      <c r="S5" s="38">
        <v>1.76</v>
      </c>
      <c r="T5" s="38">
        <v>0.185</v>
      </c>
      <c r="U5" s="8">
        <v>-0.71</v>
      </c>
      <c r="V5" s="8">
        <v>0.63875729450771523</v>
      </c>
      <c r="W5" s="8">
        <v>-5.8824580716628985</v>
      </c>
      <c r="X5" s="32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ht="34" x14ac:dyDescent="0.2">
      <c r="A6" s="6" t="s">
        <v>7</v>
      </c>
      <c r="B6" s="28" t="s">
        <v>91</v>
      </c>
      <c r="C6" s="6" t="s">
        <v>13</v>
      </c>
      <c r="D6" s="49" t="s">
        <v>155</v>
      </c>
      <c r="E6" s="6">
        <v>2</v>
      </c>
      <c r="F6" s="9">
        <v>0.64549999999999996</v>
      </c>
      <c r="G6" s="9">
        <v>2.650000000000002E-2</v>
      </c>
      <c r="H6" s="9">
        <f t="shared" si="0"/>
        <v>7.350000000000001E-2</v>
      </c>
      <c r="I6" s="6">
        <v>0.57199999999999995</v>
      </c>
      <c r="J6" s="6">
        <v>0.71899999999999997</v>
      </c>
      <c r="K6" s="8">
        <v>9.2084567178663406</v>
      </c>
      <c r="L6" s="8">
        <f t="shared" si="1"/>
        <v>10.772688977754246</v>
      </c>
      <c r="M6" s="7">
        <v>7.6174414277836036</v>
      </c>
      <c r="N6" s="7">
        <f t="shared" si="2"/>
        <v>14.930185198455863</v>
      </c>
      <c r="O6" s="7">
        <f t="shared" si="3"/>
        <v>-5.7217284805895225</v>
      </c>
      <c r="P6" s="7">
        <f t="shared" si="4"/>
        <v>24.138641916322204</v>
      </c>
      <c r="Q6" s="38">
        <v>-6.54</v>
      </c>
      <c r="R6" s="38">
        <v>0.16800000000000001</v>
      </c>
      <c r="S6" s="38">
        <v>1.34</v>
      </c>
      <c r="T6" s="38">
        <v>0.41099999999999998</v>
      </c>
      <c r="U6" s="8">
        <v>-1.21</v>
      </c>
      <c r="V6" s="8">
        <v>1.4345432022816418</v>
      </c>
      <c r="W6" s="8">
        <v>-6.3482840252312647</v>
      </c>
      <c r="X6" s="3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34" x14ac:dyDescent="0.2">
      <c r="A7" s="6" t="s">
        <v>7</v>
      </c>
      <c r="B7" s="28" t="s">
        <v>91</v>
      </c>
      <c r="C7" s="6" t="s">
        <v>14</v>
      </c>
      <c r="D7" s="49" t="s">
        <v>155</v>
      </c>
      <c r="E7" s="6">
        <v>2</v>
      </c>
      <c r="F7" s="9">
        <v>0.63349999999999995</v>
      </c>
      <c r="G7" s="9">
        <v>5.5000000000000049E-3</v>
      </c>
      <c r="H7" s="9">
        <f t="shared" si="0"/>
        <v>1.5499999999999958E-2</v>
      </c>
      <c r="I7" s="6">
        <v>0.61799999999999999</v>
      </c>
      <c r="J7" s="6">
        <v>0.64900000000000002</v>
      </c>
      <c r="K7" s="8">
        <v>12.42192008222418</v>
      </c>
      <c r="L7" s="8">
        <f t="shared" si="1"/>
        <v>2.316268319460677</v>
      </c>
      <c r="M7" s="7">
        <v>1.6378490357382129</v>
      </c>
      <c r="N7" s="7">
        <f t="shared" si="2"/>
        <v>3.2101841100468973</v>
      </c>
      <c r="O7" s="7">
        <f t="shared" si="3"/>
        <v>9.2117359721772818</v>
      </c>
      <c r="P7" s="7">
        <f t="shared" si="4"/>
        <v>15.632104192271077</v>
      </c>
      <c r="Q7" s="38">
        <v>-6.41</v>
      </c>
      <c r="R7" s="38">
        <v>0.16600000000000001</v>
      </c>
      <c r="S7" s="38">
        <v>1.7</v>
      </c>
      <c r="T7" s="38">
        <v>0.39400000000000002</v>
      </c>
      <c r="U7" s="8">
        <v>-1.65</v>
      </c>
      <c r="V7" s="8">
        <v>2.5650198552305201</v>
      </c>
      <c r="W7" s="8">
        <v>-6.7553985683831632</v>
      </c>
      <c r="X7" s="3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34" x14ac:dyDescent="0.2">
      <c r="A8" s="6" t="s">
        <v>7</v>
      </c>
      <c r="B8" s="28" t="s">
        <v>91</v>
      </c>
      <c r="C8" s="6" t="s">
        <v>15</v>
      </c>
      <c r="D8" s="49" t="s">
        <v>155</v>
      </c>
      <c r="E8" s="6">
        <v>2</v>
      </c>
      <c r="F8" s="9">
        <v>0.62949999999999995</v>
      </c>
      <c r="G8" s="9">
        <v>6.5000000000000058E-3</v>
      </c>
      <c r="H8" s="9">
        <f t="shared" si="0"/>
        <v>1.8499999999999961E-2</v>
      </c>
      <c r="I8" s="6">
        <v>0.61099999999999999</v>
      </c>
      <c r="J8" s="6">
        <v>0.64800000000000002</v>
      </c>
      <c r="K8" s="8">
        <v>13.62649594165617</v>
      </c>
      <c r="L8" s="8">
        <f t="shared" si="1"/>
        <v>2.7721177991117929</v>
      </c>
      <c r="M8" s="7">
        <v>1.960183293999876</v>
      </c>
      <c r="N8" s="7">
        <f t="shared" si="2"/>
        <v>3.8419592562397571</v>
      </c>
      <c r="O8" s="7">
        <f t="shared" si="3"/>
        <v>9.7845366854164126</v>
      </c>
      <c r="P8" s="7">
        <f t="shared" si="4"/>
        <v>17.468455197895928</v>
      </c>
      <c r="Q8" s="38">
        <v>-5.87</v>
      </c>
      <c r="R8" s="38">
        <v>0.20799999999999999</v>
      </c>
      <c r="S8" s="38">
        <v>1.68</v>
      </c>
      <c r="T8" s="38">
        <v>0.48399999999999999</v>
      </c>
      <c r="U8" s="8">
        <v>-0.56999999999999995</v>
      </c>
      <c r="V8" s="8">
        <v>1.7785501423837344</v>
      </c>
      <c r="W8" s="8">
        <v>-5.6682098656759763</v>
      </c>
      <c r="X8" s="3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34" x14ac:dyDescent="0.2">
      <c r="A9" s="6" t="s">
        <v>7</v>
      </c>
      <c r="B9" s="28" t="s">
        <v>91</v>
      </c>
      <c r="C9" s="6" t="s">
        <v>16</v>
      </c>
      <c r="D9" s="49" t="s">
        <v>155</v>
      </c>
      <c r="E9" s="6">
        <v>3</v>
      </c>
      <c r="F9" s="9">
        <v>0.61</v>
      </c>
      <c r="G9" s="6">
        <v>1.4999999999999999E-2</v>
      </c>
      <c r="H9" s="9">
        <f t="shared" si="0"/>
        <v>3.5000000000000031E-2</v>
      </c>
      <c r="I9" s="6">
        <v>0.57499999999999996</v>
      </c>
      <c r="J9" s="6">
        <v>0.64500000000000002</v>
      </c>
      <c r="K9" s="8">
        <v>19.787436365751319</v>
      </c>
      <c r="L9" s="8">
        <f t="shared" si="1"/>
        <v>7.9765854889458891</v>
      </c>
      <c r="M9" s="7">
        <v>4.6052837792569719</v>
      </c>
      <c r="N9" s="7">
        <f t="shared" si="2"/>
        <v>9.0263562073436638</v>
      </c>
      <c r="O9" s="7">
        <f t="shared" si="3"/>
        <v>10.761080158407655</v>
      </c>
      <c r="P9" s="7">
        <f t="shared" si="4"/>
        <v>28.813792573094982</v>
      </c>
      <c r="Q9" s="38">
        <v>-4.09</v>
      </c>
      <c r="R9" s="38">
        <v>0.121</v>
      </c>
      <c r="S9" s="38">
        <v>1.37</v>
      </c>
      <c r="T9" s="38">
        <v>0.187</v>
      </c>
      <c r="U9" s="8">
        <v>1.9</v>
      </c>
      <c r="V9" s="8">
        <v>0.88567433211352131</v>
      </c>
      <c r="W9" s="8">
        <v>-3.151568338390164</v>
      </c>
      <c r="X9" s="3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34" x14ac:dyDescent="0.2">
      <c r="A10" s="6" t="s">
        <v>7</v>
      </c>
      <c r="B10" s="28" t="s">
        <v>91</v>
      </c>
      <c r="C10" s="6" t="s">
        <v>17</v>
      </c>
      <c r="D10" s="49" t="s">
        <v>155</v>
      </c>
      <c r="E10" s="6">
        <v>3</v>
      </c>
      <c r="F10" s="6">
        <v>0.63600000000000001</v>
      </c>
      <c r="G10" s="6">
        <v>5.0000000000000001E-3</v>
      </c>
      <c r="H10" s="9">
        <f t="shared" si="0"/>
        <v>1.100000000000001E-2</v>
      </c>
      <c r="I10" s="6">
        <v>0.625</v>
      </c>
      <c r="J10" s="6">
        <v>0.64700000000000002</v>
      </c>
      <c r="K10" s="8">
        <v>11.685154998984499</v>
      </c>
      <c r="L10" s="8">
        <f t="shared" si="1"/>
        <v>2.3238373446246725</v>
      </c>
      <c r="M10" s="7">
        <v>1.3416681164719599</v>
      </c>
      <c r="N10" s="7">
        <f t="shared" si="2"/>
        <v>2.6296695082850414</v>
      </c>
      <c r="O10" s="7">
        <f t="shared" si="3"/>
        <v>9.0554854906994571</v>
      </c>
      <c r="P10" s="7">
        <f t="shared" si="4"/>
        <v>14.314824507269542</v>
      </c>
      <c r="Q10" s="38">
        <v>-6.23</v>
      </c>
      <c r="R10" s="38">
        <v>3.5999999999999997E-2</v>
      </c>
      <c r="S10" s="38">
        <v>2.31</v>
      </c>
      <c r="T10" s="38">
        <v>2.5000000000000001E-2</v>
      </c>
      <c r="U10" s="8">
        <v>1.1299999999999999</v>
      </c>
      <c r="V10" s="8">
        <v>0.28299450818157029</v>
      </c>
      <c r="W10" s="8">
        <v>-3.9933397577952769</v>
      </c>
      <c r="X10" s="3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34" x14ac:dyDescent="0.2">
      <c r="A11" s="6" t="s">
        <v>7</v>
      </c>
      <c r="B11" s="28" t="s">
        <v>91</v>
      </c>
      <c r="C11" s="6" t="s">
        <v>18</v>
      </c>
      <c r="D11" s="49" t="s">
        <v>155</v>
      </c>
      <c r="E11" s="6">
        <v>3</v>
      </c>
      <c r="F11" s="6">
        <v>0.61899999999999999</v>
      </c>
      <c r="G11" s="6">
        <v>7.0000000000000001E-3</v>
      </c>
      <c r="H11" s="9">
        <f t="shared" si="0"/>
        <v>1.8000000000000016E-2</v>
      </c>
      <c r="I11" s="6">
        <v>0.60099999999999998</v>
      </c>
      <c r="J11" s="6">
        <v>0.63600000000000001</v>
      </c>
      <c r="K11" s="8">
        <v>16.981787273731019</v>
      </c>
      <c r="L11" s="8">
        <f t="shared" si="1"/>
        <v>3.8619777748463755</v>
      </c>
      <c r="M11" s="7">
        <v>2.2297139079119068</v>
      </c>
      <c r="N11" s="7">
        <f t="shared" si="2"/>
        <v>4.3702392595073372</v>
      </c>
      <c r="O11" s="7">
        <f t="shared" si="3"/>
        <v>12.611548014223683</v>
      </c>
      <c r="P11" s="7">
        <f t="shared" si="4"/>
        <v>21.352026533238355</v>
      </c>
      <c r="Q11" s="38">
        <v>-6.08</v>
      </c>
      <c r="R11" s="38">
        <v>2.5999999999999999E-2</v>
      </c>
      <c r="S11" s="38">
        <v>1.49</v>
      </c>
      <c r="T11" s="38">
        <v>0.05</v>
      </c>
      <c r="U11" s="8">
        <v>1.45</v>
      </c>
      <c r="V11" s="8">
        <v>0.45072298217844176</v>
      </c>
      <c r="W11" s="8">
        <v>-3.6249989507718618</v>
      </c>
      <c r="X11" s="3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34" x14ac:dyDescent="0.2">
      <c r="A12" s="6" t="s">
        <v>7</v>
      </c>
      <c r="B12" s="28" t="s">
        <v>91</v>
      </c>
      <c r="C12" s="6" t="s">
        <v>19</v>
      </c>
      <c r="D12" s="49" t="s">
        <v>155</v>
      </c>
      <c r="E12" s="6">
        <v>3</v>
      </c>
      <c r="F12" s="6">
        <v>0.626</v>
      </c>
      <c r="G12" s="6">
        <v>5.0000000000000001E-3</v>
      </c>
      <c r="H12" s="9">
        <f t="shared" si="0"/>
        <v>1.3000000000000012E-2</v>
      </c>
      <c r="I12" s="6">
        <v>0.61299999999999999</v>
      </c>
      <c r="J12" s="6">
        <v>0.63800000000000001</v>
      </c>
      <c r="K12" s="8">
        <v>14.79718309285848</v>
      </c>
      <c r="L12" s="8">
        <f t="shared" si="1"/>
        <v>2.844051535936043</v>
      </c>
      <c r="M12" s="7">
        <v>1.6420139198618431</v>
      </c>
      <c r="N12" s="7">
        <f t="shared" si="2"/>
        <v>3.2183472829292126</v>
      </c>
      <c r="O12" s="7">
        <f t="shared" si="3"/>
        <v>11.578835809929268</v>
      </c>
      <c r="P12" s="7">
        <f t="shared" si="4"/>
        <v>18.015530375787694</v>
      </c>
      <c r="Q12" s="38">
        <v>-5.28</v>
      </c>
      <c r="R12" s="38">
        <v>2.3E-2</v>
      </c>
      <c r="S12" s="38">
        <v>1.67</v>
      </c>
      <c r="T12" s="38">
        <v>5.5E-2</v>
      </c>
      <c r="U12" s="8">
        <v>1.1599999999999999</v>
      </c>
      <c r="V12" s="8">
        <v>0.35231127029393872</v>
      </c>
      <c r="W12" s="8">
        <v>-3.9339866690655469</v>
      </c>
      <c r="X12" s="3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34" x14ac:dyDescent="0.2">
      <c r="A13" s="6" t="s">
        <v>7</v>
      </c>
      <c r="B13" s="28" t="s">
        <v>91</v>
      </c>
      <c r="C13" s="6" t="s">
        <v>20</v>
      </c>
      <c r="D13" s="49" t="s">
        <v>155</v>
      </c>
      <c r="E13" s="6">
        <v>3</v>
      </c>
      <c r="F13" s="6">
        <v>0.623</v>
      </c>
      <c r="G13" s="6">
        <v>8.0000000000000002E-3</v>
      </c>
      <c r="H13" s="9">
        <f t="shared" si="0"/>
        <v>1.9000000000000017E-2</v>
      </c>
      <c r="I13" s="6">
        <v>0.60399999999999998</v>
      </c>
      <c r="J13" s="6">
        <v>0.64200000000000002</v>
      </c>
      <c r="K13" s="8">
        <v>15.649173562823499</v>
      </c>
      <c r="L13" s="8">
        <f t="shared" si="1"/>
        <v>4.2251261138598242</v>
      </c>
      <c r="M13" s="7">
        <v>2.4393776991970868</v>
      </c>
      <c r="N13" s="7">
        <f t="shared" si="2"/>
        <v>4.7811802904262901</v>
      </c>
      <c r="O13" s="7">
        <f t="shared" si="3"/>
        <v>10.867993272397209</v>
      </c>
      <c r="P13" s="7">
        <f t="shared" si="4"/>
        <v>20.430353853249791</v>
      </c>
      <c r="Q13" s="38">
        <v>-2.95</v>
      </c>
      <c r="R13" s="38">
        <v>0.04</v>
      </c>
      <c r="S13" s="38">
        <v>1.93</v>
      </c>
      <c r="T13" s="38">
        <v>5.2999999999999999E-2</v>
      </c>
      <c r="U13" s="8">
        <v>1.6</v>
      </c>
      <c r="V13" s="8">
        <v>0.51092872039048354</v>
      </c>
      <c r="W13" s="8">
        <v>-3.4877960990356218</v>
      </c>
      <c r="X13" s="3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34" x14ac:dyDescent="0.2">
      <c r="A14" s="6" t="s">
        <v>7</v>
      </c>
      <c r="B14" s="28" t="s">
        <v>91</v>
      </c>
      <c r="C14" s="6" t="s">
        <v>21</v>
      </c>
      <c r="D14" s="49" t="s">
        <v>155</v>
      </c>
      <c r="E14" s="6">
        <v>3</v>
      </c>
      <c r="F14" s="9">
        <v>0.64</v>
      </c>
      <c r="G14" s="6">
        <v>1.7000000000000001E-2</v>
      </c>
      <c r="H14" s="9">
        <f t="shared" si="0"/>
        <v>4.2000000000000037E-2</v>
      </c>
      <c r="I14" s="6">
        <v>0.59799999999999998</v>
      </c>
      <c r="J14" s="6">
        <v>0.68100000000000005</v>
      </c>
      <c r="K14" s="8">
        <v>10.86932603388467</v>
      </c>
      <c r="L14" s="8">
        <f t="shared" si="1"/>
        <v>9.0307588537172236</v>
      </c>
      <c r="M14" s="7">
        <v>5.2139110551802359</v>
      </c>
      <c r="N14" s="7">
        <f t="shared" si="2"/>
        <v>10.219265668153263</v>
      </c>
      <c r="O14" s="7">
        <f t="shared" si="3"/>
        <v>0.65006036573140769</v>
      </c>
      <c r="P14" s="7">
        <f t="shared" si="4"/>
        <v>21.088591702037931</v>
      </c>
      <c r="Q14" s="38">
        <v>-6.76</v>
      </c>
      <c r="R14" s="38">
        <v>0.14899999999999999</v>
      </c>
      <c r="S14" s="38">
        <v>1.44</v>
      </c>
      <c r="T14" s="38">
        <v>0.29199999999999998</v>
      </c>
      <c r="U14" s="8">
        <v>0.04</v>
      </c>
      <c r="V14" s="8">
        <v>1.2168382265548587</v>
      </c>
      <c r="W14" s="8">
        <v>-5.0869499651061902</v>
      </c>
      <c r="X14" s="3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34" x14ac:dyDescent="0.2">
      <c r="A15" s="6" t="s">
        <v>7</v>
      </c>
      <c r="B15" s="28" t="s">
        <v>91</v>
      </c>
      <c r="C15" s="6" t="s">
        <v>22</v>
      </c>
      <c r="D15" s="49" t="s">
        <v>155</v>
      </c>
      <c r="E15" s="6">
        <v>3</v>
      </c>
      <c r="F15" s="6">
        <v>0.63400000000000001</v>
      </c>
      <c r="G15" s="6">
        <v>1.4999999999999999E-2</v>
      </c>
      <c r="H15" s="9">
        <f t="shared" si="0"/>
        <v>3.6000000000000032E-2</v>
      </c>
      <c r="I15" s="6">
        <v>0.59799999999999998</v>
      </c>
      <c r="J15" s="6">
        <v>0.67</v>
      </c>
      <c r="K15" s="8">
        <v>12.367519160832771</v>
      </c>
      <c r="L15" s="8">
        <f t="shared" si="1"/>
        <v>7.6536943496849767</v>
      </c>
      <c r="M15" s="7">
        <v>4.4188624930857392</v>
      </c>
      <c r="N15" s="7">
        <f t="shared" si="2"/>
        <v>8.6609704864480488</v>
      </c>
      <c r="O15" s="7">
        <f t="shared" si="3"/>
        <v>3.706548674384722</v>
      </c>
      <c r="P15" s="7">
        <f t="shared" si="4"/>
        <v>21.028489647280821</v>
      </c>
      <c r="Q15" s="38">
        <v>-5.76</v>
      </c>
      <c r="R15" s="38">
        <v>3.5000000000000003E-2</v>
      </c>
      <c r="S15" s="38">
        <v>1.1100000000000001</v>
      </c>
      <c r="T15" s="38">
        <v>0.06</v>
      </c>
      <c r="U15" s="8">
        <v>0.05</v>
      </c>
      <c r="V15" s="8">
        <v>0.94513204296459574</v>
      </c>
      <c r="W15" s="8">
        <v>-5.0625679945292203</v>
      </c>
      <c r="X15" s="3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34" x14ac:dyDescent="0.2">
      <c r="A16" s="6" t="s">
        <v>7</v>
      </c>
      <c r="B16" s="28" t="s">
        <v>91</v>
      </c>
      <c r="C16" s="6" t="s">
        <v>23</v>
      </c>
      <c r="D16" s="49" t="s">
        <v>155</v>
      </c>
      <c r="E16" s="6">
        <v>3</v>
      </c>
      <c r="F16" s="6">
        <v>0.627</v>
      </c>
      <c r="G16" s="6">
        <v>8.0000000000000002E-3</v>
      </c>
      <c r="H16" s="9">
        <f t="shared" si="0"/>
        <v>2.1000000000000019E-2</v>
      </c>
      <c r="I16" s="6">
        <v>0.60599999999999998</v>
      </c>
      <c r="J16" s="6">
        <v>0.64700000000000002</v>
      </c>
      <c r="K16" s="8">
        <v>14.534020046460871</v>
      </c>
      <c r="L16" s="8">
        <f t="shared" si="1"/>
        <v>4.4813542274218312</v>
      </c>
      <c r="M16" s="7">
        <v>2.5873110695360619</v>
      </c>
      <c r="N16" s="7">
        <f t="shared" si="2"/>
        <v>5.0711296962906811</v>
      </c>
      <c r="O16" s="7">
        <f t="shared" si="3"/>
        <v>9.4628903501701895</v>
      </c>
      <c r="P16" s="7">
        <f t="shared" si="4"/>
        <v>19.60514974275155</v>
      </c>
      <c r="Q16" s="38">
        <v>1.66</v>
      </c>
      <c r="R16" s="38">
        <v>5.7000000000000002E-2</v>
      </c>
      <c r="S16" s="38">
        <v>2.37</v>
      </c>
      <c r="T16" s="38">
        <v>1.7000000000000001E-2</v>
      </c>
      <c r="U16" s="8">
        <v>1.8</v>
      </c>
      <c r="V16" s="8">
        <v>0.55668483937980162</v>
      </c>
      <c r="W16" s="8">
        <v>-3.2989317402894116</v>
      </c>
      <c r="X16" s="3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34" x14ac:dyDescent="0.2">
      <c r="A17" s="6" t="s">
        <v>7</v>
      </c>
      <c r="B17" s="28" t="s">
        <v>91</v>
      </c>
      <c r="C17" s="6" t="s">
        <v>24</v>
      </c>
      <c r="D17" s="49" t="s">
        <v>155</v>
      </c>
      <c r="E17" s="6">
        <v>3</v>
      </c>
      <c r="F17" s="6">
        <v>0.63200000000000001</v>
      </c>
      <c r="G17" s="6">
        <v>1.4999999999999999E-2</v>
      </c>
      <c r="H17" s="9">
        <f t="shared" si="0"/>
        <v>3.6000000000000032E-2</v>
      </c>
      <c r="I17" s="6">
        <v>0.59599999999999997</v>
      </c>
      <c r="J17" s="6">
        <v>0.66900000000000004</v>
      </c>
      <c r="K17" s="8">
        <v>12.98117055614764</v>
      </c>
      <c r="L17" s="8">
        <f t="shared" si="1"/>
        <v>8.1115961221544826</v>
      </c>
      <c r="M17" s="7">
        <v>4.6832322046834154</v>
      </c>
      <c r="N17" s="7">
        <f t="shared" si="2"/>
        <v>9.1791351211794936</v>
      </c>
      <c r="O17" s="7">
        <f t="shared" si="3"/>
        <v>3.8020354349681469</v>
      </c>
      <c r="P17" s="7">
        <f t="shared" si="4"/>
        <v>22.160305677327134</v>
      </c>
      <c r="Q17" s="38">
        <v>-7.35</v>
      </c>
      <c r="R17" s="38">
        <v>9.1999999999999998E-2</v>
      </c>
      <c r="S17" s="38">
        <v>1.69</v>
      </c>
      <c r="T17" s="38">
        <v>0.217</v>
      </c>
      <c r="U17" s="8">
        <v>0.76</v>
      </c>
      <c r="V17" s="8">
        <v>1.0881923636177533</v>
      </c>
      <c r="W17" s="8">
        <v>-4.3495017101365043</v>
      </c>
      <c r="X17" s="3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34" x14ac:dyDescent="0.2">
      <c r="A18" s="6" t="s">
        <v>9</v>
      </c>
      <c r="B18" s="6">
        <v>0</v>
      </c>
      <c r="C18" s="6" t="s">
        <v>39</v>
      </c>
      <c r="D18" s="49" t="s">
        <v>156</v>
      </c>
      <c r="E18" s="15">
        <v>3</v>
      </c>
      <c r="F18" s="9">
        <v>0.58433333333333326</v>
      </c>
      <c r="G18" s="9">
        <v>8.6858761471969304E-3</v>
      </c>
      <c r="H18" s="9">
        <f t="shared" si="0"/>
        <v>2.0850062107226952E-2</v>
      </c>
      <c r="I18" s="9">
        <v>0.56348327122610631</v>
      </c>
      <c r="J18" s="9">
        <v>0.60518339544056021</v>
      </c>
      <c r="K18" s="22">
        <v>28.373295495226941</v>
      </c>
      <c r="L18" s="8">
        <f t="shared" si="1"/>
        <v>5.3513112462031458</v>
      </c>
      <c r="M18" s="7">
        <v>3.089580988512858</v>
      </c>
      <c r="N18" s="7">
        <v>3.8</v>
      </c>
      <c r="O18" s="7">
        <f t="shared" ref="O18:O36" si="5">ABS(K18-P18)</f>
        <v>7.4164027213983807</v>
      </c>
      <c r="P18" s="7">
        <v>20.95689277382856</v>
      </c>
      <c r="Q18" s="7">
        <v>-8.9600000000000009</v>
      </c>
      <c r="R18" s="7">
        <v>0.04</v>
      </c>
      <c r="S18" s="7">
        <v>-0.5</v>
      </c>
      <c r="T18" s="7">
        <v>0.04</v>
      </c>
      <c r="U18" s="7">
        <v>1.7810401250000003</v>
      </c>
      <c r="V18" s="7">
        <v>1.1000000000000001</v>
      </c>
      <c r="W18" s="7">
        <v>-3.1974719616292493</v>
      </c>
    </row>
    <row r="19" spans="1:37" ht="34" x14ac:dyDescent="0.2">
      <c r="A19" s="6" t="s">
        <v>9</v>
      </c>
      <c r="B19" s="6">
        <v>0</v>
      </c>
      <c r="C19" s="6" t="s">
        <v>40</v>
      </c>
      <c r="D19" s="49" t="s">
        <v>156</v>
      </c>
      <c r="E19" s="6">
        <v>3</v>
      </c>
      <c r="F19" s="9">
        <v>0.61166666666666669</v>
      </c>
      <c r="G19" s="9">
        <v>1.5940862934957809E-2</v>
      </c>
      <c r="H19" s="9">
        <f t="shared" si="0"/>
        <v>3.8265337497809249E-2</v>
      </c>
      <c r="I19" s="9">
        <v>0.57340132916885744</v>
      </c>
      <c r="J19" s="9">
        <v>0.64993200416447594</v>
      </c>
      <c r="K19" s="7">
        <v>19.401928129106501</v>
      </c>
      <c r="L19" s="8">
        <f t="shared" si="1"/>
        <v>8.7021652703695072</v>
      </c>
      <c r="M19" s="7">
        <v>5.0241974613804476</v>
      </c>
      <c r="N19" s="7">
        <v>5.5</v>
      </c>
      <c r="O19" s="7">
        <f t="shared" si="5"/>
        <v>12.060364128328045</v>
      </c>
      <c r="P19" s="7">
        <v>7.3415640007784564</v>
      </c>
      <c r="Q19" s="7">
        <v>-10.32</v>
      </c>
      <c r="R19" s="7">
        <v>0.06</v>
      </c>
      <c r="S19" s="7">
        <v>-0.28999999999999998</v>
      </c>
      <c r="T19" s="7">
        <v>0.13</v>
      </c>
      <c r="U19" s="7">
        <v>0.14484976953333337</v>
      </c>
      <c r="V19" s="7">
        <v>2</v>
      </c>
      <c r="W19" s="7">
        <v>-4.9033800895532877</v>
      </c>
    </row>
    <row r="20" spans="1:37" ht="34" x14ac:dyDescent="0.2">
      <c r="A20" s="6" t="s">
        <v>9</v>
      </c>
      <c r="B20" s="6">
        <v>0</v>
      </c>
      <c r="C20" s="6" t="s">
        <v>41</v>
      </c>
      <c r="D20" s="49" t="s">
        <v>156</v>
      </c>
      <c r="E20" s="6">
        <v>3</v>
      </c>
      <c r="F20" s="9">
        <v>0.61433333333333329</v>
      </c>
      <c r="G20" s="9">
        <v>5.2387445485005749E-3</v>
      </c>
      <c r="H20" s="9">
        <f t="shared" si="0"/>
        <v>1.2575374936169559E-2</v>
      </c>
      <c r="I20" s="9">
        <v>0.60175795839716373</v>
      </c>
      <c r="J20" s="9">
        <v>0.62690870826950285</v>
      </c>
      <c r="K20" s="7">
        <v>18.320235523034459</v>
      </c>
      <c r="L20" s="8">
        <f t="shared" si="1"/>
        <v>2.8639778358868417</v>
      </c>
      <c r="M20" s="7">
        <v>1.65351837450239</v>
      </c>
      <c r="N20" s="7">
        <v>2.5</v>
      </c>
      <c r="O20" s="7">
        <f t="shared" si="5"/>
        <v>3.9691978356082895</v>
      </c>
      <c r="P20" s="7">
        <v>14.351037687426169</v>
      </c>
      <c r="Q20" s="7">
        <v>-11.36</v>
      </c>
      <c r="R20" s="7">
        <v>0.06</v>
      </c>
      <c r="S20" s="7">
        <v>0.08</v>
      </c>
      <c r="T20" s="7">
        <v>0.18</v>
      </c>
      <c r="U20" s="7">
        <v>0.31808437400000006</v>
      </c>
      <c r="V20" s="7">
        <v>0.8</v>
      </c>
      <c r="W20" s="7">
        <v>-4.7404525351652174</v>
      </c>
    </row>
    <row r="21" spans="1:37" ht="34" x14ac:dyDescent="0.2">
      <c r="A21" s="6" t="s">
        <v>9</v>
      </c>
      <c r="B21" s="6">
        <v>0</v>
      </c>
      <c r="C21" s="6" t="s">
        <v>42</v>
      </c>
      <c r="D21" s="49" t="s">
        <v>156</v>
      </c>
      <c r="E21" s="6">
        <v>3</v>
      </c>
      <c r="F21" s="9">
        <v>0.6336666666666666</v>
      </c>
      <c r="G21" s="9">
        <v>8.3333333333333419E-3</v>
      </c>
      <c r="H21" s="9">
        <f t="shared" si="0"/>
        <v>2.0003798651480498E-2</v>
      </c>
      <c r="I21" s="9">
        <v>0.6136628680151861</v>
      </c>
      <c r="J21" s="9">
        <v>0.6536704653181471</v>
      </c>
      <c r="K21" s="7">
        <v>12.423825313508679</v>
      </c>
      <c r="L21" s="8">
        <f t="shared" si="1"/>
        <v>4.3541122659149138</v>
      </c>
      <c r="M21" s="7">
        <v>2.5138478888078271</v>
      </c>
      <c r="N21" s="7">
        <v>3</v>
      </c>
      <c r="O21" s="7">
        <f t="shared" si="5"/>
        <v>6.0343808409793169</v>
      </c>
      <c r="P21" s="7">
        <v>6.3894444725293624</v>
      </c>
      <c r="Q21" s="7">
        <v>-10.87</v>
      </c>
      <c r="R21" s="7">
        <v>0.04</v>
      </c>
      <c r="S21" s="7">
        <v>-0.91</v>
      </c>
      <c r="T21" s="7">
        <v>0.11</v>
      </c>
      <c r="U21" s="7">
        <v>-1.9387821506999998</v>
      </c>
      <c r="V21" s="7">
        <v>1</v>
      </c>
      <c r="W21" s="7">
        <v>-7.0430329012947315</v>
      </c>
    </row>
    <row r="22" spans="1:37" ht="34" x14ac:dyDescent="0.2">
      <c r="A22" s="6" t="s">
        <v>9</v>
      </c>
      <c r="B22" s="6">
        <v>0</v>
      </c>
      <c r="C22" s="6" t="s">
        <v>43</v>
      </c>
      <c r="D22" s="49" t="s">
        <v>156</v>
      </c>
      <c r="E22" s="6">
        <v>3</v>
      </c>
      <c r="F22" s="9">
        <v>0.62300000000000011</v>
      </c>
      <c r="G22" s="9">
        <v>6.2449979983984043E-3</v>
      </c>
      <c r="H22" s="9">
        <f>ABS(F22-I22)</f>
        <v>1.4990841904663266E-2</v>
      </c>
      <c r="I22" s="9">
        <v>0.60800915809533684</v>
      </c>
      <c r="J22" s="9">
        <v>0.63799084190466337</v>
      </c>
      <c r="K22" s="7">
        <v>15.62537337916365</v>
      </c>
      <c r="L22" s="8">
        <f t="shared" si="1"/>
        <v>3.3529308697642155</v>
      </c>
      <c r="M22" s="7">
        <v>1.9358155402325761</v>
      </c>
      <c r="N22" s="7">
        <v>2.7</v>
      </c>
      <c r="O22" s="7">
        <f t="shared" si="5"/>
        <v>4.646839715186319</v>
      </c>
      <c r="P22" s="7">
        <v>10.978533663977331</v>
      </c>
      <c r="Q22" s="7">
        <v>-7.88</v>
      </c>
      <c r="R22" s="7">
        <v>0.01</v>
      </c>
      <c r="S22" s="7">
        <v>-0.01</v>
      </c>
      <c r="T22" s="7">
        <v>0.16</v>
      </c>
      <c r="U22" s="7">
        <v>-0.3367523591333334</v>
      </c>
      <c r="V22" s="7">
        <v>0.8</v>
      </c>
      <c r="W22" s="7">
        <v>-5.4172501291156685</v>
      </c>
    </row>
    <row r="23" spans="1:37" ht="34" x14ac:dyDescent="0.2">
      <c r="A23" s="6" t="s">
        <v>9</v>
      </c>
      <c r="B23" s="6">
        <v>0</v>
      </c>
      <c r="C23" s="6" t="s">
        <v>44</v>
      </c>
      <c r="D23" s="49" t="s">
        <v>156</v>
      </c>
      <c r="E23" s="6">
        <v>3</v>
      </c>
      <c r="F23" s="9">
        <v>0.59266666666666667</v>
      </c>
      <c r="G23" s="9">
        <v>4.6666666666666714E-3</v>
      </c>
      <c r="H23" s="9">
        <f t="shared" si="0"/>
        <v>1.1202127244829052E-2</v>
      </c>
      <c r="I23" s="9">
        <v>0.58146453942183762</v>
      </c>
      <c r="J23" s="9">
        <v>0.60386879391149573</v>
      </c>
      <c r="K23" s="7">
        <v>25.428181213258469</v>
      </c>
      <c r="L23" s="8">
        <f t="shared" si="1"/>
        <v>2.7603864676253882</v>
      </c>
      <c r="M23" s="7">
        <v>1.593709870150918</v>
      </c>
      <c r="N23" s="7">
        <v>2.7</v>
      </c>
      <c r="O23" s="7">
        <f t="shared" si="5"/>
        <v>3.8256301621651296</v>
      </c>
      <c r="P23" s="7">
        <v>21.602551051093339</v>
      </c>
      <c r="Q23" s="7">
        <v>-9.5</v>
      </c>
      <c r="R23" s="7">
        <v>0.02</v>
      </c>
      <c r="S23" s="7">
        <v>-0.67</v>
      </c>
      <c r="T23" s="7">
        <v>0.02</v>
      </c>
      <c r="U23" s="7">
        <v>1.0322537269999998</v>
      </c>
      <c r="V23" s="7">
        <v>0.5</v>
      </c>
      <c r="W23" s="7">
        <v>-3.9675963382911563</v>
      </c>
    </row>
    <row r="24" spans="1:37" ht="34" x14ac:dyDescent="0.2">
      <c r="A24" s="6" t="s">
        <v>9</v>
      </c>
      <c r="B24" s="6">
        <v>0</v>
      </c>
      <c r="C24" s="6" t="s">
        <v>45</v>
      </c>
      <c r="D24" s="49" t="s">
        <v>156</v>
      </c>
      <c r="E24" s="6">
        <v>3</v>
      </c>
      <c r="F24" s="9">
        <v>0.59966666666666668</v>
      </c>
      <c r="G24" s="9">
        <v>8.8191710368819764E-4</v>
      </c>
      <c r="H24" s="9">
        <f t="shared" si="0"/>
        <v>2.1170030603370193E-3</v>
      </c>
      <c r="I24" s="9">
        <v>0.59754966360632966</v>
      </c>
      <c r="J24" s="9">
        <v>0.6017836697270037</v>
      </c>
      <c r="K24" s="7">
        <v>23.049675961142519</v>
      </c>
      <c r="L24" s="8">
        <f t="shared" si="1"/>
        <v>0.50802252247273727</v>
      </c>
      <c r="M24" s="7">
        <v>0.29330694010402758</v>
      </c>
      <c r="N24" s="7">
        <v>2</v>
      </c>
      <c r="O24" s="7">
        <f t="shared" si="5"/>
        <v>0.7040703567507407</v>
      </c>
      <c r="P24" s="7">
        <v>22.345605604391778</v>
      </c>
      <c r="Q24" s="7">
        <v>-10.07</v>
      </c>
      <c r="R24" s="7">
        <v>0.01</v>
      </c>
      <c r="S24" s="7">
        <v>-0.2</v>
      </c>
      <c r="T24" s="7">
        <v>0.03</v>
      </c>
      <c r="U24" s="7">
        <v>1.0236072056333334</v>
      </c>
      <c r="V24" s="7">
        <v>0.1</v>
      </c>
      <c r="W24" s="7">
        <v>-3.9962656047849645</v>
      </c>
    </row>
    <row r="25" spans="1:37" ht="34" x14ac:dyDescent="0.2">
      <c r="A25" s="6" t="s">
        <v>9</v>
      </c>
      <c r="B25" s="6">
        <v>0</v>
      </c>
      <c r="C25" s="6" t="s">
        <v>46</v>
      </c>
      <c r="D25" s="49" t="s">
        <v>156</v>
      </c>
      <c r="E25" s="6">
        <v>3</v>
      </c>
      <c r="F25" s="9">
        <v>0.60666666666666658</v>
      </c>
      <c r="G25" s="9">
        <v>9.5277372853043094E-3</v>
      </c>
      <c r="H25" s="9">
        <f t="shared" si="0"/>
        <v>2.2870912591131609E-2</v>
      </c>
      <c r="I25" s="9">
        <v>0.58379575407553497</v>
      </c>
      <c r="J25" s="9">
        <v>0.62953757925779819</v>
      </c>
      <c r="K25" s="7">
        <v>20.846272676358112</v>
      </c>
      <c r="L25" s="8">
        <f t="shared" si="1"/>
        <v>5.3048040858015941</v>
      </c>
      <c r="M25" s="7">
        <v>3.0627300669357771</v>
      </c>
      <c r="N25" s="7">
        <v>3.8</v>
      </c>
      <c r="O25" s="7">
        <f t="shared" si="5"/>
        <v>7.3519482699382319</v>
      </c>
      <c r="P25" s="7">
        <v>13.49432440641988</v>
      </c>
      <c r="Q25" s="7">
        <v>-7.6</v>
      </c>
      <c r="R25" s="7">
        <v>0.02</v>
      </c>
      <c r="S25" s="7">
        <v>-0.43</v>
      </c>
      <c r="T25" s="7">
        <v>0.02</v>
      </c>
      <c r="U25" s="7">
        <v>0.32829700243333332</v>
      </c>
      <c r="V25" s="7">
        <v>1.1000000000000001</v>
      </c>
      <c r="W25" s="7">
        <v>-4.7079356776672734</v>
      </c>
    </row>
    <row r="26" spans="1:37" ht="34" x14ac:dyDescent="0.2">
      <c r="A26" s="6" t="s">
        <v>9</v>
      </c>
      <c r="B26" s="6">
        <v>0</v>
      </c>
      <c r="C26" s="6" t="s">
        <v>47</v>
      </c>
      <c r="D26" s="49" t="s">
        <v>156</v>
      </c>
      <c r="E26" s="6">
        <v>3</v>
      </c>
      <c r="F26" s="9">
        <v>0.60833333333333328</v>
      </c>
      <c r="G26" s="9">
        <v>8.8380490557085755E-3</v>
      </c>
      <c r="H26" s="9">
        <f t="shared" si="0"/>
        <v>2.1215346453876127E-2</v>
      </c>
      <c r="I26" s="9">
        <v>0.58711798687945715</v>
      </c>
      <c r="J26" s="9">
        <v>0.62954867978720941</v>
      </c>
      <c r="K26" s="7">
        <v>20.294571220633959</v>
      </c>
      <c r="L26" s="8">
        <f t="shared" si="1"/>
        <v>5.0057203818654257</v>
      </c>
      <c r="M26" s="7">
        <v>2.8900540099579999</v>
      </c>
      <c r="N26" s="7">
        <v>3.5</v>
      </c>
      <c r="O26" s="7">
        <f t="shared" si="5"/>
        <v>6.9374470208524279</v>
      </c>
      <c r="P26" s="7">
        <v>13.357124199781531</v>
      </c>
      <c r="Q26" s="7">
        <v>-10.09</v>
      </c>
      <c r="R26" s="7">
        <v>0.02</v>
      </c>
      <c r="S26" s="7">
        <v>-0.8</v>
      </c>
      <c r="T26" s="7">
        <v>0.05</v>
      </c>
      <c r="U26" s="7">
        <v>-0.14689066170000001</v>
      </c>
      <c r="V26" s="7">
        <v>1.1000000000000001</v>
      </c>
      <c r="W26" s="7">
        <v>-5.1861282357335217</v>
      </c>
    </row>
    <row r="27" spans="1:37" ht="34" x14ac:dyDescent="0.2">
      <c r="A27" s="6" t="s">
        <v>9</v>
      </c>
      <c r="B27" s="6">
        <v>0</v>
      </c>
      <c r="C27" s="6" t="s">
        <v>48</v>
      </c>
      <c r="D27" s="49" t="s">
        <v>156</v>
      </c>
      <c r="E27" s="6">
        <v>3</v>
      </c>
      <c r="F27" s="9">
        <v>0.64900000000000002</v>
      </c>
      <c r="G27" s="9">
        <v>2.0207259421636922E-2</v>
      </c>
      <c r="H27" s="9">
        <f t="shared" si="0"/>
        <v>4.8506633852238745E-2</v>
      </c>
      <c r="I27" s="9">
        <v>0.60049336614776128</v>
      </c>
      <c r="J27" s="9">
        <v>0.69750663385223877</v>
      </c>
      <c r="K27" s="22">
        <v>8.2539812894405031</v>
      </c>
      <c r="L27" s="8">
        <f t="shared" si="1"/>
        <v>9.9720067919168187</v>
      </c>
      <c r="M27" s="7">
        <v>5.7573408056739526</v>
      </c>
      <c r="N27" s="7">
        <v>6</v>
      </c>
      <c r="O27" s="7">
        <f t="shared" si="5"/>
        <v>13.820242349358482</v>
      </c>
      <c r="P27" s="7">
        <v>-5.5662610599179789</v>
      </c>
      <c r="Q27" s="7">
        <v>-9.31</v>
      </c>
      <c r="R27" s="7">
        <v>0.03</v>
      </c>
      <c r="S27" s="7">
        <v>-0.7</v>
      </c>
      <c r="T27" s="7">
        <v>0.16</v>
      </c>
      <c r="U27" s="7">
        <v>-2.6931997713333331</v>
      </c>
      <c r="V27" s="7">
        <v>2.4</v>
      </c>
      <c r="W27" s="7">
        <v>-7.83508945460789</v>
      </c>
    </row>
    <row r="28" spans="1:37" ht="34" x14ac:dyDescent="0.2">
      <c r="A28" s="6" t="s">
        <v>146</v>
      </c>
      <c r="B28" s="6">
        <v>0</v>
      </c>
      <c r="C28" s="6" t="s">
        <v>49</v>
      </c>
      <c r="D28" s="49" t="s">
        <v>156</v>
      </c>
      <c r="E28" s="6">
        <v>2</v>
      </c>
      <c r="F28" s="9">
        <v>0.63900000000000001</v>
      </c>
      <c r="G28" s="9">
        <v>2.200000000000002E-2</v>
      </c>
      <c r="H28" s="9">
        <f t="shared" si="0"/>
        <v>6.0979768271385848E-2</v>
      </c>
      <c r="I28" s="9">
        <v>0.57802023172861416</v>
      </c>
      <c r="J28" s="9">
        <v>0.69997976827138586</v>
      </c>
      <c r="K28" s="7">
        <v>11.00348430517559</v>
      </c>
      <c r="L28" s="8">
        <f t="shared" si="1"/>
        <v>9.1189010733693365</v>
      </c>
      <c r="M28" s="7">
        <v>6.4480367859487444</v>
      </c>
      <c r="N28" s="7">
        <v>6.7</v>
      </c>
      <c r="O28" s="7">
        <f t="shared" si="5"/>
        <v>17.872717682387542</v>
      </c>
      <c r="P28" s="7">
        <v>-6.8692333772119518</v>
      </c>
      <c r="Q28" s="7">
        <v>-9.84</v>
      </c>
      <c r="R28" s="7">
        <v>0.02</v>
      </c>
      <c r="S28" s="7">
        <v>-0.54</v>
      </c>
      <c r="T28" s="7">
        <v>0.12</v>
      </c>
      <c r="U28" s="7">
        <v>-1.8</v>
      </c>
      <c r="V28" s="15">
        <v>2.1</v>
      </c>
      <c r="W28" s="7">
        <v>-6.918426157159562</v>
      </c>
    </row>
    <row r="29" spans="1:37" ht="34" x14ac:dyDescent="0.2">
      <c r="A29" s="6" t="s">
        <v>9</v>
      </c>
      <c r="B29" s="6">
        <v>0</v>
      </c>
      <c r="C29" s="6" t="s">
        <v>50</v>
      </c>
      <c r="D29" s="49" t="s">
        <v>156</v>
      </c>
      <c r="E29" s="6">
        <v>3</v>
      </c>
      <c r="F29" s="9">
        <v>0.59466666666666657</v>
      </c>
      <c r="G29" s="9">
        <v>1.3691035185275251E-2</v>
      </c>
      <c r="H29" s="9">
        <f t="shared" si="0"/>
        <v>3.2864725341189671E-2</v>
      </c>
      <c r="I29" s="9">
        <v>0.56180194132547689</v>
      </c>
      <c r="J29" s="9">
        <v>0.62753139200785624</v>
      </c>
      <c r="K29" s="7">
        <v>24.936802259599609</v>
      </c>
      <c r="L29" s="8">
        <f t="shared" si="1"/>
        <v>7.9044349087850208</v>
      </c>
      <c r="M29" s="7">
        <v>4.563627622378907</v>
      </c>
      <c r="N29" s="7">
        <v>5.0999999999999996</v>
      </c>
      <c r="O29" s="7">
        <f t="shared" si="5"/>
        <v>10.954786569408249</v>
      </c>
      <c r="P29" s="7">
        <v>13.982015690191361</v>
      </c>
      <c r="Q29" s="7">
        <v>-9.64</v>
      </c>
      <c r="R29" s="7">
        <v>0.02</v>
      </c>
      <c r="S29" s="7">
        <v>-0.54</v>
      </c>
      <c r="T29" s="7">
        <v>0.04</v>
      </c>
      <c r="U29" s="7">
        <v>1</v>
      </c>
      <c r="V29" s="7">
        <v>1.6</v>
      </c>
      <c r="W29" s="7">
        <v>-4.0038305279554089</v>
      </c>
    </row>
    <row r="30" spans="1:37" ht="34" x14ac:dyDescent="0.2">
      <c r="A30" s="6" t="s">
        <v>9</v>
      </c>
      <c r="B30" s="6">
        <v>0</v>
      </c>
      <c r="C30" s="6" t="s">
        <v>51</v>
      </c>
      <c r="D30" s="49" t="s">
        <v>156</v>
      </c>
      <c r="E30" s="6">
        <v>3</v>
      </c>
      <c r="F30" s="9">
        <v>0.59333333333333338</v>
      </c>
      <c r="G30" s="9">
        <v>3.179797338056488E-3</v>
      </c>
      <c r="H30" s="9">
        <f t="shared" si="0"/>
        <v>7.6329630843594565E-3</v>
      </c>
      <c r="I30" s="9">
        <v>0.58570037024897392</v>
      </c>
      <c r="J30" s="9">
        <v>0.60096629641769284</v>
      </c>
      <c r="K30" s="7">
        <v>25.18784576378992</v>
      </c>
      <c r="L30" s="8">
        <f t="shared" si="1"/>
        <v>1.8685580696391244</v>
      </c>
      <c r="M30" s="7">
        <v>1.078812504502596</v>
      </c>
      <c r="N30" s="7">
        <v>2.2999999999999998</v>
      </c>
      <c r="O30" s="7">
        <f t="shared" si="5"/>
        <v>2.5896417747323106</v>
      </c>
      <c r="P30" s="7">
        <v>22.598203989057609</v>
      </c>
      <c r="Q30" s="7">
        <v>-9.6300000000000008</v>
      </c>
      <c r="R30" s="7">
        <v>0.04</v>
      </c>
      <c r="S30" s="7">
        <v>-0.13</v>
      </c>
      <c r="T30" s="7">
        <v>0.03</v>
      </c>
      <c r="U30" s="7">
        <v>1.5</v>
      </c>
      <c r="V30" s="7">
        <v>0.4</v>
      </c>
      <c r="W30" s="7">
        <v>-3.5036307445410966</v>
      </c>
    </row>
    <row r="31" spans="1:37" ht="34" x14ac:dyDescent="0.2">
      <c r="A31" s="6" t="s">
        <v>9</v>
      </c>
      <c r="B31" s="6">
        <v>0</v>
      </c>
      <c r="C31" s="6" t="s">
        <v>52</v>
      </c>
      <c r="D31" s="49" t="s">
        <v>156</v>
      </c>
      <c r="E31" s="6">
        <v>3</v>
      </c>
      <c r="F31" s="9">
        <v>0.59500000000000008</v>
      </c>
      <c r="G31" s="9">
        <v>1.5373136743466961E-2</v>
      </c>
      <c r="H31" s="9">
        <f t="shared" si="0"/>
        <v>3.6902535846958684E-2</v>
      </c>
      <c r="I31" s="9">
        <v>0.5580974641530414</v>
      </c>
      <c r="J31" s="9">
        <v>0.63190253584695877</v>
      </c>
      <c r="K31" s="7">
        <v>24.88626361116841</v>
      </c>
      <c r="L31" s="8">
        <f t="shared" si="1"/>
        <v>9.0808222912348633</v>
      </c>
      <c r="M31" s="7">
        <v>5.2428151943076031</v>
      </c>
      <c r="N31" s="7">
        <v>5.5</v>
      </c>
      <c r="O31" s="7">
        <f>ABS(K31-P31)</f>
        <v>12.585146341662199</v>
      </c>
      <c r="P31" s="7">
        <v>12.301117269506211</v>
      </c>
      <c r="Q31" s="7">
        <v>-11.27</v>
      </c>
      <c r="R31" s="7">
        <v>0.04</v>
      </c>
      <c r="S31" s="7">
        <v>-0.34</v>
      </c>
      <c r="T31" s="7">
        <v>0.03</v>
      </c>
      <c r="U31" s="7">
        <v>1.2</v>
      </c>
      <c r="V31" s="7">
        <v>1.8</v>
      </c>
      <c r="W31" s="7">
        <v>-3.8050137849086276</v>
      </c>
    </row>
    <row r="32" spans="1:37" ht="34" x14ac:dyDescent="0.2">
      <c r="A32" s="6" t="s">
        <v>9</v>
      </c>
      <c r="B32" s="6">
        <v>0</v>
      </c>
      <c r="C32" s="6" t="s">
        <v>53</v>
      </c>
      <c r="D32" s="49" t="s">
        <v>156</v>
      </c>
      <c r="E32" s="6">
        <v>3</v>
      </c>
      <c r="F32" s="9">
        <v>0.60566666666666669</v>
      </c>
      <c r="G32" s="9">
        <v>1.953913451967048E-2</v>
      </c>
      <c r="H32" s="9">
        <f t="shared" si="0"/>
        <v>4.6902829530681589E-2</v>
      </c>
      <c r="I32" s="9">
        <v>0.5587638371359851</v>
      </c>
      <c r="J32" s="9">
        <v>0.65256949619734828</v>
      </c>
      <c r="K32" s="7">
        <v>21.480197443223709</v>
      </c>
      <c r="L32" s="8">
        <f t="shared" si="1"/>
        <v>10.841578844210423</v>
      </c>
      <c r="M32" s="7">
        <v>6.2593884641454398</v>
      </c>
      <c r="N32" s="7">
        <v>6.8</v>
      </c>
      <c r="O32" s="7">
        <f t="shared" si="5"/>
        <v>15.025385582179787</v>
      </c>
      <c r="P32" s="7">
        <v>6.4548118610439218</v>
      </c>
      <c r="Q32" s="7">
        <v>-9</v>
      </c>
      <c r="R32" s="7">
        <v>0.03</v>
      </c>
      <c r="S32" s="7">
        <v>-0.54</v>
      </c>
      <c r="T32" s="7">
        <v>7.0000000000000007E-2</v>
      </c>
      <c r="U32" s="7">
        <v>0.3</v>
      </c>
      <c r="V32" s="7">
        <v>2.2999999999999998</v>
      </c>
      <c r="W32" s="7">
        <v>-4.7306093375093718</v>
      </c>
    </row>
    <row r="33" spans="1:23" ht="34" x14ac:dyDescent="0.2">
      <c r="A33" s="6" t="s">
        <v>9</v>
      </c>
      <c r="B33" s="6">
        <v>0</v>
      </c>
      <c r="C33" s="6" t="s">
        <v>54</v>
      </c>
      <c r="D33" s="49" t="s">
        <v>156</v>
      </c>
      <c r="E33" s="6">
        <v>3</v>
      </c>
      <c r="F33" s="9">
        <v>0.59599999999999997</v>
      </c>
      <c r="G33" s="9">
        <v>2.0816659994661352E-3</v>
      </c>
      <c r="H33" s="9">
        <f t="shared" si="0"/>
        <v>4.9969473015544219E-3</v>
      </c>
      <c r="I33" s="9">
        <v>0.59100305269844555</v>
      </c>
      <c r="J33" s="9">
        <v>0.6009969473015544</v>
      </c>
      <c r="K33" s="7">
        <v>24.27980606672164</v>
      </c>
      <c r="L33" s="8">
        <f t="shared" si="1"/>
        <v>1.2160051723544205</v>
      </c>
      <c r="M33" s="7">
        <v>0.70206091359480205</v>
      </c>
      <c r="N33" s="7">
        <v>2.1</v>
      </c>
      <c r="O33" s="7">
        <f t="shared" si="5"/>
        <v>1.685266218794979</v>
      </c>
      <c r="P33" s="7">
        <v>22.594539847926661</v>
      </c>
      <c r="Q33" s="7">
        <v>-10.050000000000001</v>
      </c>
      <c r="R33" s="7">
        <v>0.02</v>
      </c>
      <c r="S33" s="7">
        <v>-0.56000000000000005</v>
      </c>
      <c r="T33" s="7">
        <v>0.03</v>
      </c>
      <c r="U33" s="7">
        <v>0.9</v>
      </c>
      <c r="V33" s="7">
        <v>0.2</v>
      </c>
      <c r="W33" s="7">
        <v>-4.1089683517230515</v>
      </c>
    </row>
    <row r="34" spans="1:23" ht="34" x14ac:dyDescent="0.2">
      <c r="A34" s="6" t="s">
        <v>9</v>
      </c>
      <c r="B34" s="6">
        <v>0</v>
      </c>
      <c r="C34" s="6" t="s">
        <v>55</v>
      </c>
      <c r="D34" s="49" t="s">
        <v>156</v>
      </c>
      <c r="E34" s="6">
        <v>3</v>
      </c>
      <c r="F34" s="9">
        <v>0.60066666666666668</v>
      </c>
      <c r="G34" s="9">
        <v>7.2648315725677964E-3</v>
      </c>
      <c r="H34" s="9">
        <f t="shared" si="0"/>
        <v>1.7438907361747691E-2</v>
      </c>
      <c r="I34" s="9">
        <v>0.58322775930491899</v>
      </c>
      <c r="J34" s="9">
        <v>0.61810557402841437</v>
      </c>
      <c r="K34" s="7">
        <v>22.77551888093533</v>
      </c>
      <c r="L34" s="8">
        <f t="shared" si="1"/>
        <v>4.1525796643655308</v>
      </c>
      <c r="M34" s="7">
        <v>2.397492987052805</v>
      </c>
      <c r="N34" s="7">
        <v>3.1</v>
      </c>
      <c r="O34" s="7">
        <f t="shared" si="5"/>
        <v>5.7550760377608903</v>
      </c>
      <c r="P34" s="7">
        <v>17.02044284317444</v>
      </c>
      <c r="Q34" s="7">
        <v>-10.24</v>
      </c>
      <c r="R34" s="7">
        <v>0.06</v>
      </c>
      <c r="S34" s="7">
        <v>-0.59</v>
      </c>
      <c r="T34" s="7">
        <v>0.08</v>
      </c>
      <c r="U34" s="7">
        <v>0.6</v>
      </c>
      <c r="V34" s="7">
        <v>0.9</v>
      </c>
      <c r="W34" s="7">
        <v>-4.4205989744903409</v>
      </c>
    </row>
    <row r="35" spans="1:23" ht="34" x14ac:dyDescent="0.2">
      <c r="A35" s="6" t="s">
        <v>9</v>
      </c>
      <c r="B35" s="6">
        <v>0</v>
      </c>
      <c r="C35" s="6" t="s">
        <v>56</v>
      </c>
      <c r="D35" s="49" t="s">
        <v>156</v>
      </c>
      <c r="E35" s="6">
        <v>5</v>
      </c>
      <c r="F35" s="9">
        <v>0.58260000000000001</v>
      </c>
      <c r="G35" s="9">
        <v>1.289418473576363E-2</v>
      </c>
      <c r="H35" s="9">
        <f t="shared" si="0"/>
        <v>2.8255108908138316E-2</v>
      </c>
      <c r="I35" s="9">
        <v>0.55434489109186169</v>
      </c>
      <c r="J35" s="9">
        <v>0.61085510890813832</v>
      </c>
      <c r="K35" s="22">
        <v>29.306319994529289</v>
      </c>
      <c r="L35" s="8">
        <f t="shared" si="1"/>
        <v>10.339231826625239</v>
      </c>
      <c r="M35" s="7">
        <v>4.6238450398926707</v>
      </c>
      <c r="N35" s="7">
        <v>5</v>
      </c>
      <c r="O35" s="7">
        <f t="shared" si="5"/>
        <v>10.132261003997868</v>
      </c>
      <c r="P35" s="7">
        <v>19.174058990531421</v>
      </c>
      <c r="Q35" s="7">
        <v>-10.46</v>
      </c>
      <c r="R35" s="7">
        <v>0.42</v>
      </c>
      <c r="S35" s="7">
        <v>-0.87</v>
      </c>
      <c r="T35" s="7">
        <v>0.41</v>
      </c>
      <c r="U35" s="7">
        <v>1.6</v>
      </c>
      <c r="V35" s="7">
        <v>2.2000000000000002</v>
      </c>
      <c r="W35" s="7">
        <v>-3.3703208504595397</v>
      </c>
    </row>
    <row r="36" spans="1:23" ht="34" x14ac:dyDescent="0.2">
      <c r="A36" s="10" t="s">
        <v>9</v>
      </c>
      <c r="B36" s="10">
        <v>0</v>
      </c>
      <c r="C36" s="10" t="s">
        <v>57</v>
      </c>
      <c r="D36" s="50" t="s">
        <v>156</v>
      </c>
      <c r="E36" s="10">
        <v>4</v>
      </c>
      <c r="F36" s="16">
        <v>0.59675</v>
      </c>
      <c r="G36" s="16">
        <v>1.421486897582949E-2</v>
      </c>
      <c r="H36" s="14">
        <f t="shared" si="0"/>
        <v>3.2170685889621242E-2</v>
      </c>
      <c r="I36" s="14">
        <v>0.56457931411037876</v>
      </c>
      <c r="J36" s="14">
        <v>0.62892068588962124</v>
      </c>
      <c r="K36" s="17">
        <v>24.385538293245759</v>
      </c>
      <c r="L36" s="23">
        <f t="shared" si="1"/>
        <v>9.9912740119761274</v>
      </c>
      <c r="M36" s="17">
        <v>4.9956370059880637</v>
      </c>
      <c r="N36" s="17">
        <v>5.0999999999999996</v>
      </c>
      <c r="O36" s="11">
        <f t="shared" si="5"/>
        <v>11.305983137198188</v>
      </c>
      <c r="P36" s="11">
        <v>13.07955515604757</v>
      </c>
      <c r="Q36" s="11">
        <v>-10.35</v>
      </c>
      <c r="R36" s="11">
        <v>1.53</v>
      </c>
      <c r="S36" s="11">
        <v>-0.13</v>
      </c>
      <c r="T36" s="11">
        <v>0.11</v>
      </c>
      <c r="U36" s="11">
        <v>1.3248448704774998</v>
      </c>
      <c r="V36" s="11">
        <v>2</v>
      </c>
      <c r="W36" s="11">
        <v>-3.6848493379524552</v>
      </c>
    </row>
    <row r="37" spans="1:23" x14ac:dyDescent="0.2">
      <c r="B37" s="15"/>
    </row>
    <row r="38" spans="1:23" x14ac:dyDescent="0.2">
      <c r="A38" s="1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E443-1ABA-2545-A6BF-F8F92F87508B}">
  <dimension ref="A1:E8"/>
  <sheetViews>
    <sheetView workbookViewId="0"/>
  </sheetViews>
  <sheetFormatPr baseColWidth="10" defaultRowHeight="16" x14ac:dyDescent="0.2"/>
  <cols>
    <col min="1" max="1" width="60.33203125" bestFit="1" customWidth="1"/>
    <col min="2" max="2" width="20.5" bestFit="1" customWidth="1"/>
    <col min="3" max="3" width="20.5" customWidth="1"/>
    <col min="4" max="4" width="37.6640625" bestFit="1" customWidth="1"/>
    <col min="5" max="5" width="12.5" bestFit="1" customWidth="1"/>
  </cols>
  <sheetData>
    <row r="1" spans="1:5" x14ac:dyDescent="0.2">
      <c r="A1" s="1" t="s">
        <v>71</v>
      </c>
      <c r="B1" s="1"/>
      <c r="C1" s="1"/>
      <c r="D1" s="1"/>
    </row>
    <row r="2" spans="1:5" x14ac:dyDescent="0.2">
      <c r="A2" s="1"/>
      <c r="B2" s="1"/>
      <c r="C2" s="1"/>
      <c r="D2" s="1"/>
    </row>
    <row r="3" spans="1:5" ht="17" thickBot="1" x14ac:dyDescent="0.25">
      <c r="A3" s="45" t="s">
        <v>70</v>
      </c>
      <c r="B3" s="46" t="s">
        <v>109</v>
      </c>
      <c r="C3" s="46" t="s">
        <v>64</v>
      </c>
      <c r="D3" s="46" t="s">
        <v>110</v>
      </c>
      <c r="E3" s="46" t="s">
        <v>64</v>
      </c>
    </row>
    <row r="4" spans="1:5" x14ac:dyDescent="0.2">
      <c r="A4" s="28" t="s">
        <v>61</v>
      </c>
      <c r="B4" s="7">
        <v>13.2</v>
      </c>
      <c r="C4" s="7">
        <v>1</v>
      </c>
      <c r="D4" s="7">
        <v>13.2</v>
      </c>
      <c r="E4" s="7">
        <v>1</v>
      </c>
    </row>
    <row r="5" spans="1:5" x14ac:dyDescent="0.2">
      <c r="A5" s="28" t="s">
        <v>8</v>
      </c>
      <c r="B5" s="6">
        <v>20.7</v>
      </c>
      <c r="C5" s="7">
        <v>1</v>
      </c>
      <c r="D5" s="6">
        <v>19.899999999999999</v>
      </c>
      <c r="E5" s="39">
        <v>1</v>
      </c>
    </row>
    <row r="6" spans="1:5" x14ac:dyDescent="0.2">
      <c r="A6" s="29" t="s">
        <v>9</v>
      </c>
      <c r="B6" s="10">
        <v>21.1</v>
      </c>
      <c r="C6" s="10">
        <v>0.9</v>
      </c>
      <c r="D6" s="10">
        <v>21.6</v>
      </c>
      <c r="E6" s="40">
        <v>0.9</v>
      </c>
    </row>
    <row r="8" spans="1:5" x14ac:dyDescent="0.2">
      <c r="A8" s="1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DEA8-3D61-C34C-9F55-74D4146631C3}">
  <dimension ref="A1:AL17"/>
  <sheetViews>
    <sheetView workbookViewId="0">
      <selection activeCell="B1" sqref="B1"/>
    </sheetView>
  </sheetViews>
  <sheetFormatPr baseColWidth="10" defaultRowHeight="16" x14ac:dyDescent="0.2"/>
  <cols>
    <col min="1" max="1" width="19.33203125" bestFit="1" customWidth="1"/>
  </cols>
  <sheetData>
    <row r="1" spans="1:38" x14ac:dyDescent="0.2">
      <c r="A1" s="1" t="s">
        <v>116</v>
      </c>
      <c r="B1" s="1" t="s">
        <v>117</v>
      </c>
    </row>
    <row r="3" spans="1:38" s="1" customFormat="1" ht="17" thickBot="1" x14ac:dyDescent="0.25">
      <c r="A3" s="42" t="s">
        <v>3</v>
      </c>
      <c r="B3" s="42" t="s">
        <v>4</v>
      </c>
      <c r="C3" s="42" t="s">
        <v>5</v>
      </c>
      <c r="D3" s="42" t="s">
        <v>10</v>
      </c>
      <c r="E3" s="42" t="s">
        <v>6</v>
      </c>
      <c r="F3" s="42" t="s">
        <v>96</v>
      </c>
      <c r="G3" s="42" t="s">
        <v>112</v>
      </c>
      <c r="H3" s="42" t="s">
        <v>113</v>
      </c>
      <c r="I3" s="42" t="s">
        <v>114</v>
      </c>
      <c r="J3" s="42" t="s">
        <v>115</v>
      </c>
      <c r="K3" s="42" t="s">
        <v>97</v>
      </c>
      <c r="L3" s="42" t="s">
        <v>111</v>
      </c>
      <c r="M3" s="42" t="s">
        <v>112</v>
      </c>
      <c r="N3" s="42" t="s">
        <v>113</v>
      </c>
      <c r="O3" s="42" t="s">
        <v>115</v>
      </c>
      <c r="P3" s="42" t="s">
        <v>114</v>
      </c>
      <c r="Q3" s="42" t="s">
        <v>98</v>
      </c>
      <c r="R3" s="42" t="s">
        <v>111</v>
      </c>
      <c r="S3" s="42" t="s">
        <v>99</v>
      </c>
      <c r="T3" s="42" t="s">
        <v>111</v>
      </c>
    </row>
    <row r="4" spans="1:38" s="1" customFormat="1" ht="17" thickTop="1" x14ac:dyDescent="0.2">
      <c r="A4" s="6" t="s">
        <v>8</v>
      </c>
      <c r="B4" s="28" t="s">
        <v>92</v>
      </c>
      <c r="C4" s="6" t="s">
        <v>25</v>
      </c>
      <c r="D4" s="6" t="s">
        <v>58</v>
      </c>
      <c r="E4" s="6">
        <v>3</v>
      </c>
      <c r="F4" s="9">
        <v>0.6193333333333334</v>
      </c>
      <c r="G4" s="9">
        <v>1.0728984626287401E-2</v>
      </c>
      <c r="H4" s="9">
        <f t="shared" ref="H4:H17" si="0">ABS(F4-I4)</f>
        <v>2.5754453783889852E-2</v>
      </c>
      <c r="I4" s="9">
        <v>0.59357887954944355</v>
      </c>
      <c r="J4" s="9">
        <v>0.64508778711722325</v>
      </c>
      <c r="K4" s="7">
        <v>16.836205017972421</v>
      </c>
      <c r="L4" s="8">
        <f t="shared" ref="L4:L17" si="1">M4*SQRT(E4)</f>
        <v>7.0124790818760765</v>
      </c>
      <c r="M4" s="7">
        <v>4.0486566856077726</v>
      </c>
      <c r="N4" s="7">
        <f t="shared" ref="N4:N17" si="2">M4*1.96</f>
        <v>7.9353671037912346</v>
      </c>
      <c r="O4" s="7">
        <f t="shared" ref="O4:O17" si="3">K4-N4</f>
        <v>8.9008379141811869</v>
      </c>
      <c r="P4" s="7">
        <f t="shared" ref="P4:P17" si="4">K4+N4</f>
        <v>24.771572121763654</v>
      </c>
      <c r="Q4" s="7">
        <v>-9.26</v>
      </c>
      <c r="R4" s="7">
        <v>0.1</v>
      </c>
      <c r="S4" s="7">
        <v>0.22</v>
      </c>
      <c r="T4" s="7">
        <v>0.04</v>
      </c>
      <c r="V4" s="6"/>
      <c r="X4" s="6"/>
      <c r="Y4" s="4"/>
      <c r="Z4" s="4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s="1" customFormat="1" x14ac:dyDescent="0.2">
      <c r="A5" s="6" t="s">
        <v>8</v>
      </c>
      <c r="B5" s="28" t="s">
        <v>92</v>
      </c>
      <c r="C5" s="6" t="s">
        <v>26</v>
      </c>
      <c r="D5" s="6" t="s">
        <v>58</v>
      </c>
      <c r="E5" s="6">
        <v>4</v>
      </c>
      <c r="F5" s="9">
        <v>0.58224999999999993</v>
      </c>
      <c r="G5" s="9">
        <v>1.0086087778056779E-2</v>
      </c>
      <c r="H5" s="9">
        <f t="shared" si="0"/>
        <v>2.2826546084578125E-2</v>
      </c>
      <c r="I5" s="9">
        <v>0.55942345391542181</v>
      </c>
      <c r="J5" s="9">
        <v>0.60507654608457806</v>
      </c>
      <c r="K5" s="22">
        <v>29.208407648416848</v>
      </c>
      <c r="L5" s="8">
        <f t="shared" si="1"/>
        <v>8.5284188532384757</v>
      </c>
      <c r="M5" s="7">
        <v>4.2642094266192379</v>
      </c>
      <c r="N5" s="7">
        <f t="shared" si="2"/>
        <v>8.3578504761737058</v>
      </c>
      <c r="O5" s="7">
        <f t="shared" si="3"/>
        <v>20.850557172243143</v>
      </c>
      <c r="P5" s="7">
        <f t="shared" si="4"/>
        <v>37.566258124590554</v>
      </c>
      <c r="Q5" s="7">
        <v>-8.44</v>
      </c>
      <c r="R5" s="7">
        <v>0.18</v>
      </c>
      <c r="S5" s="7">
        <v>-0.56000000000000005</v>
      </c>
      <c r="T5" s="7">
        <v>0.39</v>
      </c>
      <c r="V5" s="6"/>
      <c r="X5" s="6"/>
      <c r="Y5" s="4"/>
      <c r="Z5" s="4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s="1" customFormat="1" x14ac:dyDescent="0.2">
      <c r="A6" s="6" t="s">
        <v>8</v>
      </c>
      <c r="B6" s="28" t="s">
        <v>92</v>
      </c>
      <c r="C6" s="6" t="s">
        <v>27</v>
      </c>
      <c r="D6" s="6" t="s">
        <v>58</v>
      </c>
      <c r="E6" s="6">
        <v>3</v>
      </c>
      <c r="F6" s="9">
        <v>0.61166666666666669</v>
      </c>
      <c r="G6" s="9">
        <v>3.844187531556935E-3</v>
      </c>
      <c r="H6" s="9">
        <f t="shared" si="0"/>
        <v>9.2278024031755557E-3</v>
      </c>
      <c r="I6" s="9">
        <v>0.60243886426349114</v>
      </c>
      <c r="J6" s="9">
        <v>0.62089446906984225</v>
      </c>
      <c r="K6" s="7">
        <v>19.155254695392749</v>
      </c>
      <c r="L6" s="8">
        <f t="shared" si="1"/>
        <v>2.5944004524013202</v>
      </c>
      <c r="M6" s="7">
        <v>1.4978777995795891</v>
      </c>
      <c r="N6" s="7">
        <f t="shared" si="2"/>
        <v>2.9358404871759944</v>
      </c>
      <c r="O6" s="7">
        <f t="shared" si="3"/>
        <v>16.219414208216755</v>
      </c>
      <c r="P6" s="7">
        <f t="shared" si="4"/>
        <v>22.091095182568743</v>
      </c>
      <c r="Q6" s="7">
        <v>-8.2899999999999991</v>
      </c>
      <c r="R6" s="7">
        <v>0.01</v>
      </c>
      <c r="S6" s="7">
        <v>-0.31</v>
      </c>
      <c r="T6" s="7">
        <v>0.01</v>
      </c>
      <c r="V6" s="6"/>
      <c r="X6" s="6"/>
      <c r="Y6" s="4"/>
      <c r="Z6" s="4"/>
      <c r="AC6" s="2"/>
      <c r="AD6" s="2"/>
      <c r="AE6" s="2"/>
      <c r="AF6" s="2"/>
      <c r="AH6" s="3"/>
      <c r="AI6" s="2"/>
      <c r="AJ6" s="2"/>
      <c r="AK6" s="2"/>
      <c r="AL6" s="2"/>
    </row>
    <row r="7" spans="1:38" s="1" customFormat="1" x14ac:dyDescent="0.2">
      <c r="A7" s="6" t="s">
        <v>8</v>
      </c>
      <c r="B7" s="28" t="s">
        <v>92</v>
      </c>
      <c r="C7" s="6" t="s">
        <v>28</v>
      </c>
      <c r="D7" s="6" t="s">
        <v>58</v>
      </c>
      <c r="E7" s="6">
        <v>3</v>
      </c>
      <c r="F7" s="9">
        <v>0.58833333333333326</v>
      </c>
      <c r="G7" s="9">
        <v>9.1712109947984111E-3</v>
      </c>
      <c r="H7" s="9">
        <f t="shared" si="0"/>
        <v>2.2015086975622933E-2</v>
      </c>
      <c r="I7" s="9">
        <v>0.56631824635771033</v>
      </c>
      <c r="J7" s="9">
        <v>0.6103484203089562</v>
      </c>
      <c r="K7" s="22">
        <v>26.990562546709231</v>
      </c>
      <c r="L7" s="8">
        <f t="shared" si="1"/>
        <v>6.8315538139509835</v>
      </c>
      <c r="M7" s="7">
        <v>3.944199433468015</v>
      </c>
      <c r="N7" s="7">
        <f t="shared" si="2"/>
        <v>7.7306308895973093</v>
      </c>
      <c r="O7" s="7">
        <f t="shared" si="3"/>
        <v>19.25993165711192</v>
      </c>
      <c r="P7" s="7">
        <f t="shared" si="4"/>
        <v>34.721193436306542</v>
      </c>
      <c r="Q7" s="7">
        <v>-7.86</v>
      </c>
      <c r="R7" s="7">
        <v>7.0000000000000007E-2</v>
      </c>
      <c r="S7" s="7">
        <v>-0.87</v>
      </c>
      <c r="T7" s="7">
        <v>0.12</v>
      </c>
      <c r="V7" s="6"/>
      <c r="X7" s="6"/>
      <c r="Z7" s="4"/>
      <c r="AE7" s="2"/>
      <c r="AF7" s="2"/>
      <c r="AH7" s="3"/>
      <c r="AI7" s="2"/>
      <c r="AJ7" s="2"/>
      <c r="AK7" s="2"/>
      <c r="AL7" s="2"/>
    </row>
    <row r="8" spans="1:38" s="1" customFormat="1" x14ac:dyDescent="0.2">
      <c r="A8" s="6" t="s">
        <v>8</v>
      </c>
      <c r="B8" s="28" t="s">
        <v>92</v>
      </c>
      <c r="C8" s="6" t="s">
        <v>29</v>
      </c>
      <c r="D8" s="6" t="s">
        <v>58</v>
      </c>
      <c r="E8" s="6">
        <v>3</v>
      </c>
      <c r="F8" s="9">
        <v>0.61724999999999997</v>
      </c>
      <c r="G8" s="9">
        <v>1.533718248788437E-2</v>
      </c>
      <c r="H8" s="9">
        <f t="shared" si="0"/>
        <v>3.471067380842574E-2</v>
      </c>
      <c r="I8" s="9">
        <v>0.58253932619157422</v>
      </c>
      <c r="J8" s="9">
        <v>0.65196067380842571</v>
      </c>
      <c r="K8" s="7">
        <v>17.721670318331991</v>
      </c>
      <c r="L8" s="8">
        <f t="shared" si="1"/>
        <v>9.388590928940582</v>
      </c>
      <c r="M8" s="7">
        <v>5.4205055001351239</v>
      </c>
      <c r="N8" s="7">
        <f t="shared" si="2"/>
        <v>10.624190780264843</v>
      </c>
      <c r="O8" s="7">
        <f t="shared" si="3"/>
        <v>7.097479538067148</v>
      </c>
      <c r="P8" s="7">
        <f t="shared" si="4"/>
        <v>28.345861098596835</v>
      </c>
      <c r="Q8" s="7">
        <v>-6.03</v>
      </c>
      <c r="R8" s="7">
        <v>7.0000000000000007E-2</v>
      </c>
      <c r="S8" s="7">
        <v>-0.99</v>
      </c>
      <c r="T8" s="7">
        <v>0.41</v>
      </c>
      <c r="V8" s="6"/>
      <c r="X8" s="6"/>
      <c r="Z8" s="4"/>
      <c r="AE8" s="2"/>
      <c r="AF8" s="2"/>
      <c r="AH8" s="3"/>
      <c r="AI8" s="2"/>
      <c r="AJ8" s="2"/>
      <c r="AK8" s="2"/>
      <c r="AL8" s="2"/>
    </row>
    <row r="9" spans="1:38" s="1" customFormat="1" x14ac:dyDescent="0.2">
      <c r="A9" s="6" t="s">
        <v>8</v>
      </c>
      <c r="B9" s="28" t="s">
        <v>92</v>
      </c>
      <c r="C9" s="6" t="s">
        <v>30</v>
      </c>
      <c r="D9" s="6" t="s">
        <v>58</v>
      </c>
      <c r="E9" s="6">
        <v>3</v>
      </c>
      <c r="F9" s="9">
        <v>0.58933333333333326</v>
      </c>
      <c r="G9" s="9">
        <v>6.3595946761129769E-3</v>
      </c>
      <c r="H9" s="9">
        <f t="shared" si="0"/>
        <v>1.5265926168718913E-2</v>
      </c>
      <c r="I9" s="9">
        <v>0.57406740716461435</v>
      </c>
      <c r="J9" s="9">
        <v>0.60459925950205218</v>
      </c>
      <c r="K9" s="22">
        <v>26.590992575997731</v>
      </c>
      <c r="L9" s="8">
        <f t="shared" si="1"/>
        <v>4.5965123742003682</v>
      </c>
      <c r="M9" s="7">
        <v>2.6537976565780288</v>
      </c>
      <c r="N9" s="7">
        <f t="shared" si="2"/>
        <v>5.2014434068929365</v>
      </c>
      <c r="O9" s="7">
        <f t="shared" si="3"/>
        <v>21.389549169104797</v>
      </c>
      <c r="P9" s="7">
        <f t="shared" si="4"/>
        <v>31.792435982890666</v>
      </c>
      <c r="Q9" s="7">
        <v>-7.14</v>
      </c>
      <c r="R9" s="7">
        <v>0.04</v>
      </c>
      <c r="S9" s="7">
        <v>-0.48</v>
      </c>
      <c r="T9" s="7">
        <v>0.08</v>
      </c>
      <c r="V9" s="6"/>
      <c r="X9" s="6"/>
      <c r="Z9" s="4"/>
      <c r="AE9" s="2"/>
      <c r="AF9" s="2"/>
      <c r="AH9" s="3"/>
      <c r="AI9" s="2"/>
      <c r="AJ9" s="2"/>
      <c r="AK9" s="2"/>
      <c r="AL9" s="2"/>
    </row>
    <row r="10" spans="1:38" s="1" customFormat="1" x14ac:dyDescent="0.2">
      <c r="A10" s="6" t="s">
        <v>8</v>
      </c>
      <c r="B10" s="28" t="s">
        <v>92</v>
      </c>
      <c r="C10" s="6" t="s">
        <v>31</v>
      </c>
      <c r="D10" s="6" t="s">
        <v>58</v>
      </c>
      <c r="E10" s="6">
        <v>2</v>
      </c>
      <c r="F10" s="9">
        <v>0.62666666666666659</v>
      </c>
      <c r="G10" s="9">
        <v>2.034152840318983E-2</v>
      </c>
      <c r="H10" s="9">
        <f t="shared" si="0"/>
        <v>4.8828940612893557E-2</v>
      </c>
      <c r="I10" s="9">
        <v>0.57783772605377304</v>
      </c>
      <c r="J10" s="9">
        <v>0.67549560727956015</v>
      </c>
      <c r="K10" s="7">
        <v>14.860833433455641</v>
      </c>
      <c r="L10" s="8">
        <f t="shared" si="1"/>
        <v>10.644037114987004</v>
      </c>
      <c r="M10" s="7">
        <v>7.5264708232086051</v>
      </c>
      <c r="N10" s="7">
        <f t="shared" si="2"/>
        <v>14.751882813488866</v>
      </c>
      <c r="O10" s="7">
        <f t="shared" si="3"/>
        <v>0.10895061996677491</v>
      </c>
      <c r="P10" s="7">
        <f t="shared" si="4"/>
        <v>29.612716246944508</v>
      </c>
      <c r="Q10" s="7">
        <v>-8.3699999999999992</v>
      </c>
      <c r="R10" s="7">
        <v>0.77</v>
      </c>
      <c r="S10" s="7">
        <v>-0.2</v>
      </c>
      <c r="T10" s="7">
        <v>0.38</v>
      </c>
      <c r="U10" s="2"/>
      <c r="V10" s="6"/>
      <c r="X10" s="6"/>
    </row>
    <row r="11" spans="1:38" s="1" customFormat="1" x14ac:dyDescent="0.2">
      <c r="A11" s="6" t="s">
        <v>8</v>
      </c>
      <c r="B11" s="28" t="s">
        <v>92</v>
      </c>
      <c r="C11" s="6" t="s">
        <v>32</v>
      </c>
      <c r="D11" s="6" t="s">
        <v>58</v>
      </c>
      <c r="E11" s="6">
        <v>3</v>
      </c>
      <c r="F11" s="9">
        <v>0.60300000000000009</v>
      </c>
      <c r="G11" s="9">
        <v>4.0414518843273836E-3</v>
      </c>
      <c r="H11" s="9">
        <f t="shared" si="0"/>
        <v>9.7013267704477713E-3</v>
      </c>
      <c r="I11" s="9">
        <v>0.59329867322955232</v>
      </c>
      <c r="J11" s="9">
        <v>0.61270132677044786</v>
      </c>
      <c r="K11" s="7">
        <v>21.965215503220939</v>
      </c>
      <c r="L11" s="8">
        <f t="shared" si="1"/>
        <v>2.8177886675816195</v>
      </c>
      <c r="M11" s="7">
        <v>1.626851045747725</v>
      </c>
      <c r="N11" s="7">
        <f t="shared" si="2"/>
        <v>3.188628049665541</v>
      </c>
      <c r="O11" s="7">
        <f t="shared" si="3"/>
        <v>18.776587453555397</v>
      </c>
      <c r="P11" s="7">
        <f t="shared" si="4"/>
        <v>25.153843552886482</v>
      </c>
      <c r="Q11" s="7">
        <v>-9.5500000000000007</v>
      </c>
      <c r="R11" s="7">
        <v>0.4</v>
      </c>
      <c r="S11" s="7">
        <v>0</v>
      </c>
      <c r="T11" s="7">
        <v>0.33</v>
      </c>
      <c r="V11" s="6"/>
      <c r="X11" s="6"/>
    </row>
    <row r="12" spans="1:38" s="1" customFormat="1" x14ac:dyDescent="0.2">
      <c r="A12" s="6" t="s">
        <v>8</v>
      </c>
      <c r="B12" s="28" t="s">
        <v>92</v>
      </c>
      <c r="C12" s="6" t="s">
        <v>33</v>
      </c>
      <c r="D12" s="6" t="s">
        <v>58</v>
      </c>
      <c r="E12" s="6">
        <v>3</v>
      </c>
      <c r="F12" s="9">
        <v>0.61033333333333328</v>
      </c>
      <c r="G12" s="9">
        <v>4.1766546953805597E-3</v>
      </c>
      <c r="H12" s="9">
        <f t="shared" si="0"/>
        <v>1.0025875147578356E-2</v>
      </c>
      <c r="I12" s="9">
        <v>0.60030745818575493</v>
      </c>
      <c r="J12" s="9">
        <v>0.62035920848091164</v>
      </c>
      <c r="K12" s="7">
        <v>19.585084296733381</v>
      </c>
      <c r="L12" s="8">
        <f t="shared" si="1"/>
        <v>2.8611886817932111</v>
      </c>
      <c r="M12" s="7">
        <v>1.6519080556356209</v>
      </c>
      <c r="N12" s="7">
        <f t="shared" si="2"/>
        <v>3.2377397890458171</v>
      </c>
      <c r="O12" s="7">
        <f t="shared" si="3"/>
        <v>16.347344507687563</v>
      </c>
      <c r="P12" s="7">
        <f t="shared" si="4"/>
        <v>22.8228240857792</v>
      </c>
      <c r="Q12" s="7">
        <v>-10.45</v>
      </c>
      <c r="R12" s="7">
        <v>0.55000000000000004</v>
      </c>
      <c r="S12" s="7">
        <v>-0.25</v>
      </c>
      <c r="T12" s="7">
        <v>0.05</v>
      </c>
      <c r="V12" s="6"/>
      <c r="X12" s="6"/>
    </row>
    <row r="13" spans="1:38" s="1" customFormat="1" x14ac:dyDescent="0.2">
      <c r="A13" s="6" t="s">
        <v>8</v>
      </c>
      <c r="B13" s="28" t="s">
        <v>92</v>
      </c>
      <c r="C13" s="6" t="s">
        <v>34</v>
      </c>
      <c r="D13" s="6" t="s">
        <v>58</v>
      </c>
      <c r="E13" s="6">
        <v>2</v>
      </c>
      <c r="F13" s="9">
        <v>0.6256666666666667</v>
      </c>
      <c r="G13" s="9">
        <v>1.091380369582994E-2</v>
      </c>
      <c r="H13" s="9">
        <f t="shared" si="0"/>
        <v>2.6198103798379835E-2</v>
      </c>
      <c r="I13" s="9">
        <v>0.59946856286828687</v>
      </c>
      <c r="J13" s="9">
        <v>0.65186477046504654</v>
      </c>
      <c r="K13" s="7">
        <v>14.8832637093951</v>
      </c>
      <c r="L13" s="8">
        <f t="shared" si="1"/>
        <v>5.6951819374756019</v>
      </c>
      <c r="M13" s="7">
        <v>4.0271017680801382</v>
      </c>
      <c r="N13" s="7">
        <f t="shared" si="2"/>
        <v>7.8931194654370707</v>
      </c>
      <c r="O13" s="7">
        <f t="shared" si="3"/>
        <v>6.9901442439580297</v>
      </c>
      <c r="P13" s="7">
        <f t="shared" si="4"/>
        <v>22.776383174832169</v>
      </c>
      <c r="Q13" s="7">
        <v>-9.9499999999999993</v>
      </c>
      <c r="R13" s="7">
        <v>0.02</v>
      </c>
      <c r="S13" s="7">
        <v>0.22</v>
      </c>
      <c r="T13" s="7">
        <v>0.17</v>
      </c>
      <c r="V13" s="6"/>
      <c r="X13" s="6"/>
    </row>
    <row r="14" spans="1:38" s="1" customFormat="1" x14ac:dyDescent="0.2">
      <c r="A14" s="6" t="s">
        <v>8</v>
      </c>
      <c r="B14" s="28" t="s">
        <v>92</v>
      </c>
      <c r="C14" s="6" t="s">
        <v>35</v>
      </c>
      <c r="D14" s="6" t="s">
        <v>58</v>
      </c>
      <c r="E14" s="6">
        <v>5</v>
      </c>
      <c r="F14" s="9">
        <v>0.60033333333333327</v>
      </c>
      <c r="G14" s="9">
        <v>6.3857480202226778E-3</v>
      </c>
      <c r="H14" s="9">
        <f t="shared" si="0"/>
        <v>1.5328706116274904E-2</v>
      </c>
      <c r="I14" s="9">
        <v>0.58500462721705837</v>
      </c>
      <c r="J14" s="9">
        <v>0.61566203944960818</v>
      </c>
      <c r="K14" s="7">
        <v>22.872805236672569</v>
      </c>
      <c r="L14" s="8">
        <f t="shared" si="1"/>
        <v>5.7817601806335546</v>
      </c>
      <c r="M14" s="7">
        <v>2.5856817586996179</v>
      </c>
      <c r="N14" s="7">
        <f t="shared" si="2"/>
        <v>5.067936247051251</v>
      </c>
      <c r="O14" s="7">
        <f t="shared" si="3"/>
        <v>17.804868989621319</v>
      </c>
      <c r="P14" s="7">
        <f t="shared" si="4"/>
        <v>27.940741483723819</v>
      </c>
      <c r="Q14" s="7">
        <v>-9.11</v>
      </c>
      <c r="R14" s="7">
        <v>0.02</v>
      </c>
      <c r="S14" s="7">
        <v>-0.04</v>
      </c>
      <c r="T14" s="7">
        <v>0.03</v>
      </c>
      <c r="V14" s="6"/>
      <c r="X14" s="6"/>
    </row>
    <row r="15" spans="1:38" s="1" customFormat="1" x14ac:dyDescent="0.2">
      <c r="A15" s="6" t="s">
        <v>8</v>
      </c>
      <c r="B15" s="28" t="s">
        <v>92</v>
      </c>
      <c r="C15" s="6" t="s">
        <v>36</v>
      </c>
      <c r="D15" s="6" t="s">
        <v>58</v>
      </c>
      <c r="E15" s="6">
        <v>5</v>
      </c>
      <c r="F15" s="9">
        <v>0.61450000000000005</v>
      </c>
      <c r="G15" s="9">
        <v>8.1802607945386917E-3</v>
      </c>
      <c r="H15" s="9">
        <f t="shared" si="0"/>
        <v>1.8513332832245211E-2</v>
      </c>
      <c r="I15" s="9">
        <v>0.59598666716775484</v>
      </c>
      <c r="J15" s="9">
        <v>0.63301333283224526</v>
      </c>
      <c r="K15" s="7">
        <v>18.341164615947601</v>
      </c>
      <c r="L15" s="8">
        <f t="shared" si="1"/>
        <v>6.592811741402266</v>
      </c>
      <c r="M15" s="7">
        <v>2.9483950433268462</v>
      </c>
      <c r="N15" s="7">
        <f t="shared" si="2"/>
        <v>5.7788542849206186</v>
      </c>
      <c r="O15" s="7">
        <f t="shared" si="3"/>
        <v>12.562310331026982</v>
      </c>
      <c r="P15" s="7">
        <f t="shared" si="4"/>
        <v>24.120018900868221</v>
      </c>
      <c r="Q15" s="7">
        <v>-9.9700000000000006</v>
      </c>
      <c r="R15" s="7">
        <v>0.04</v>
      </c>
      <c r="S15" s="7">
        <v>-0.05</v>
      </c>
      <c r="T15" s="7">
        <v>0.19</v>
      </c>
      <c r="V15" s="6"/>
      <c r="X15" s="6"/>
    </row>
    <row r="16" spans="1:38" s="1" customFormat="1" x14ac:dyDescent="0.2">
      <c r="A16" s="6" t="s">
        <v>8</v>
      </c>
      <c r="B16" s="28" t="s">
        <v>92</v>
      </c>
      <c r="C16" s="6" t="s">
        <v>37</v>
      </c>
      <c r="D16" s="6" t="s">
        <v>58</v>
      </c>
      <c r="E16" s="6">
        <v>4</v>
      </c>
      <c r="F16" s="9">
        <v>0.62024999999999997</v>
      </c>
      <c r="G16" s="9">
        <v>5.1700257897487039E-3</v>
      </c>
      <c r="H16" s="9">
        <f t="shared" si="0"/>
        <v>1.1700654856971027E-2</v>
      </c>
      <c r="I16" s="9">
        <v>0.60854934514302894</v>
      </c>
      <c r="J16" s="9">
        <v>0.63195065485697099</v>
      </c>
      <c r="K16" s="7">
        <v>16.47706093467394</v>
      </c>
      <c r="L16" s="8">
        <f t="shared" si="1"/>
        <v>3.7140484701601739</v>
      </c>
      <c r="M16" s="7">
        <v>1.857024235080087</v>
      </c>
      <c r="N16" s="7">
        <f t="shared" si="2"/>
        <v>3.6397675007569705</v>
      </c>
      <c r="O16" s="7">
        <f t="shared" si="3"/>
        <v>12.837293433916969</v>
      </c>
      <c r="P16" s="7">
        <f t="shared" si="4"/>
        <v>20.116828435430911</v>
      </c>
      <c r="Q16" s="7">
        <v>-10.23</v>
      </c>
      <c r="R16" s="7">
        <v>0.04</v>
      </c>
      <c r="S16" s="7">
        <v>-0.76</v>
      </c>
      <c r="T16" s="7">
        <v>0.14000000000000001</v>
      </c>
      <c r="V16" s="6"/>
      <c r="X16" s="6"/>
    </row>
    <row r="17" spans="1:20" s="1" customFormat="1" x14ac:dyDescent="0.2">
      <c r="A17" s="10" t="s">
        <v>8</v>
      </c>
      <c r="B17" s="29" t="s">
        <v>92</v>
      </c>
      <c r="C17" s="10" t="s">
        <v>38</v>
      </c>
      <c r="D17" s="10" t="s">
        <v>58</v>
      </c>
      <c r="E17" s="10">
        <v>3</v>
      </c>
      <c r="F17" s="14">
        <v>0.63100000000000001</v>
      </c>
      <c r="G17" s="14">
        <v>4.358898943540677E-3</v>
      </c>
      <c r="H17" s="14">
        <f t="shared" si="0"/>
        <v>9.8649357215806477E-3</v>
      </c>
      <c r="I17" s="14">
        <v>0.62113506427841936</v>
      </c>
      <c r="J17" s="14">
        <v>0.64086493572158065</v>
      </c>
      <c r="K17" s="11">
        <v>13.18221181523481</v>
      </c>
      <c r="L17" s="23">
        <f t="shared" si="1"/>
        <v>2.6291137797933928</v>
      </c>
      <c r="M17" s="11">
        <v>1.5179195484938699</v>
      </c>
      <c r="N17" s="11">
        <f t="shared" si="2"/>
        <v>2.9751223150479849</v>
      </c>
      <c r="O17" s="11">
        <f t="shared" si="3"/>
        <v>10.207089500186825</v>
      </c>
      <c r="P17" s="11">
        <f t="shared" si="4"/>
        <v>16.157334130282795</v>
      </c>
      <c r="Q17" s="11">
        <v>-8.17</v>
      </c>
      <c r="R17" s="11">
        <v>0.15</v>
      </c>
      <c r="S17" s="11">
        <v>-0.95</v>
      </c>
      <c r="T17" s="11">
        <v>0.33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D4781-F549-5A4C-86FD-CF18B8D87BF0}">
  <dimension ref="A1:K11"/>
  <sheetViews>
    <sheetView workbookViewId="0">
      <selection activeCell="B1" sqref="B1"/>
    </sheetView>
  </sheetViews>
  <sheetFormatPr baseColWidth="10" defaultRowHeight="16" x14ac:dyDescent="0.2"/>
  <sheetData>
    <row r="1" spans="1:11" x14ac:dyDescent="0.2">
      <c r="A1" s="1" t="s">
        <v>118</v>
      </c>
      <c r="B1" s="1" t="s">
        <v>119</v>
      </c>
    </row>
    <row r="3" spans="1:11" ht="17" thickBot="1" x14ac:dyDescent="0.25">
      <c r="A3" s="43" t="s">
        <v>59</v>
      </c>
      <c r="B3" s="43"/>
      <c r="C3" s="43"/>
      <c r="D3" s="43"/>
      <c r="E3" s="43"/>
      <c r="F3" s="43"/>
      <c r="G3" s="43"/>
      <c r="H3" s="43"/>
      <c r="I3" s="42" t="s">
        <v>60</v>
      </c>
      <c r="J3" s="44" t="s">
        <v>68</v>
      </c>
      <c r="K3" s="44" t="s">
        <v>66</v>
      </c>
    </row>
    <row r="4" spans="1:11" ht="17" thickTop="1" x14ac:dyDescent="0.2">
      <c r="A4" s="28"/>
      <c r="B4" s="28" t="s">
        <v>120</v>
      </c>
      <c r="C4" s="28"/>
      <c r="D4" s="28"/>
      <c r="E4" s="28"/>
      <c r="F4" s="28"/>
      <c r="G4" s="28"/>
      <c r="H4" s="28"/>
      <c r="I4" s="6"/>
      <c r="J4" s="28"/>
      <c r="K4" s="28"/>
    </row>
    <row r="5" spans="1:11" x14ac:dyDescent="0.2">
      <c r="A5" s="28"/>
      <c r="B5" s="28"/>
      <c r="C5" s="28" t="s">
        <v>100</v>
      </c>
      <c r="D5" s="28"/>
      <c r="E5" s="28"/>
      <c r="F5" s="28"/>
      <c r="G5" s="28"/>
      <c r="H5" s="28"/>
      <c r="I5" s="6">
        <v>21.6</v>
      </c>
      <c r="J5" s="6">
        <v>1.2</v>
      </c>
      <c r="K5" s="6">
        <v>3.2</v>
      </c>
    </row>
    <row r="6" spans="1:11" x14ac:dyDescent="0.2">
      <c r="A6" s="28"/>
      <c r="B6" s="28"/>
      <c r="C6" s="28" t="s">
        <v>121</v>
      </c>
      <c r="D6" s="28"/>
      <c r="E6" s="28"/>
      <c r="F6" s="28"/>
      <c r="G6" s="28"/>
      <c r="H6" s="28"/>
      <c r="I6" s="6">
        <v>19.899999999999999</v>
      </c>
      <c r="J6" s="7">
        <v>1.3</v>
      </c>
      <c r="K6" s="6">
        <v>3.3</v>
      </c>
    </row>
    <row r="7" spans="1:11" x14ac:dyDescent="0.2">
      <c r="A7" s="28"/>
      <c r="B7" s="28"/>
      <c r="C7" s="28" t="s">
        <v>122</v>
      </c>
      <c r="D7" s="28"/>
      <c r="E7" s="28"/>
      <c r="F7" s="28"/>
      <c r="G7" s="28"/>
      <c r="H7" s="28"/>
      <c r="I7" s="6">
        <f>I6-I5</f>
        <v>-1.7000000000000028</v>
      </c>
      <c r="J7" s="6">
        <v>1.8</v>
      </c>
      <c r="K7" s="7">
        <f>J7*1.96</f>
        <v>3.528</v>
      </c>
    </row>
    <row r="8" spans="1:11" x14ac:dyDescent="0.2">
      <c r="A8" s="28"/>
      <c r="B8" s="28"/>
      <c r="C8" s="28"/>
      <c r="D8" s="28"/>
      <c r="E8" s="28"/>
      <c r="F8" s="28"/>
      <c r="G8" s="28"/>
      <c r="H8" s="28"/>
      <c r="I8" s="7"/>
      <c r="J8" s="6"/>
      <c r="K8" s="6"/>
    </row>
    <row r="9" spans="1:11" x14ac:dyDescent="0.2">
      <c r="A9" s="28"/>
      <c r="B9" s="28"/>
      <c r="C9" s="28" t="s">
        <v>104</v>
      </c>
      <c r="D9" s="28"/>
      <c r="E9" s="28"/>
      <c r="F9" s="28"/>
      <c r="G9" s="28"/>
      <c r="H9" s="28"/>
      <c r="I9" s="7">
        <v>-4.5999999999999996</v>
      </c>
      <c r="J9" s="6">
        <v>0.3</v>
      </c>
      <c r="K9" s="7">
        <f>J9*1.96</f>
        <v>0.58799999999999997</v>
      </c>
    </row>
    <row r="10" spans="1:11" x14ac:dyDescent="0.2">
      <c r="A10" s="28"/>
      <c r="B10" s="28"/>
      <c r="C10" s="28" t="s">
        <v>123</v>
      </c>
      <c r="D10" s="28"/>
      <c r="E10" s="28"/>
      <c r="F10" s="28"/>
      <c r="G10" s="28"/>
      <c r="H10" s="28"/>
      <c r="I10" s="7">
        <v>-3.7</v>
      </c>
      <c r="J10" s="6">
        <v>0.3</v>
      </c>
      <c r="K10" s="7">
        <f>J10*1.96</f>
        <v>0.58799999999999997</v>
      </c>
    </row>
    <row r="11" spans="1:11" x14ac:dyDescent="0.2">
      <c r="A11" s="29"/>
      <c r="B11" s="29"/>
      <c r="C11" s="29" t="s">
        <v>124</v>
      </c>
      <c r="D11" s="29"/>
      <c r="E11" s="29"/>
      <c r="F11" s="29"/>
      <c r="G11" s="29"/>
      <c r="H11" s="29"/>
      <c r="I11" s="11">
        <f>I10-I9</f>
        <v>0.89999999999999947</v>
      </c>
      <c r="J11" s="10">
        <v>0.4</v>
      </c>
      <c r="K11" s="11">
        <f>J11*1.96</f>
        <v>0.78400000000000003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EF00-A514-BA43-82FC-81EFF5A558B7}">
  <dimension ref="A1:C16"/>
  <sheetViews>
    <sheetView workbookViewId="0">
      <selection activeCell="B1" sqref="B1"/>
    </sheetView>
  </sheetViews>
  <sheetFormatPr baseColWidth="10" defaultRowHeight="16" x14ac:dyDescent="0.2"/>
  <cols>
    <col min="1" max="2" width="23.6640625" bestFit="1" customWidth="1"/>
    <col min="3" max="3" width="14.6640625" bestFit="1" customWidth="1"/>
  </cols>
  <sheetData>
    <row r="1" spans="1:3" x14ac:dyDescent="0.2">
      <c r="A1" s="1" t="s">
        <v>125</v>
      </c>
      <c r="B1" s="1" t="s">
        <v>126</v>
      </c>
    </row>
    <row r="2" spans="1:3" x14ac:dyDescent="0.2">
      <c r="A2" s="1"/>
    </row>
    <row r="3" spans="1:3" ht="17" thickBot="1" x14ac:dyDescent="0.25">
      <c r="A3" s="42" t="s">
        <v>0</v>
      </c>
      <c r="B3" s="42" t="s">
        <v>1</v>
      </c>
      <c r="C3" s="42" t="s">
        <v>2</v>
      </c>
    </row>
    <row r="4" spans="1:3" ht="17" thickTop="1" x14ac:dyDescent="0.2">
      <c r="A4" s="28" t="s">
        <v>72</v>
      </c>
      <c r="B4" s="18">
        <v>0.24</v>
      </c>
      <c r="C4" s="7">
        <f>[1]tas_mh!$A$13</f>
        <v>-0.40139770000000002</v>
      </c>
    </row>
    <row r="5" spans="1:3" x14ac:dyDescent="0.2">
      <c r="A5" s="28" t="s">
        <v>76</v>
      </c>
      <c r="B5" s="18">
        <v>-0.15</v>
      </c>
      <c r="C5" s="7">
        <f>[1]tas_mh!$A$28</f>
        <v>-0.34265137000000001</v>
      </c>
    </row>
    <row r="6" spans="1:3" x14ac:dyDescent="0.2">
      <c r="A6" s="28" t="s">
        <v>73</v>
      </c>
      <c r="B6" s="18">
        <v>0.2</v>
      </c>
      <c r="C6" s="7">
        <f>[1]tas_mh!$A$18</f>
        <v>-6.6040039999999994E-2</v>
      </c>
    </row>
    <row r="7" spans="1:3" x14ac:dyDescent="0.2">
      <c r="A7" s="28" t="s">
        <v>77</v>
      </c>
      <c r="B7" s="18">
        <v>0.22</v>
      </c>
      <c r="C7" s="7">
        <f>[1]tas_mh!$A$3</f>
        <v>-0.38159179999999998</v>
      </c>
    </row>
    <row r="8" spans="1:3" x14ac:dyDescent="0.2">
      <c r="A8" s="28" t="s">
        <v>75</v>
      </c>
      <c r="B8" s="18">
        <v>0.04</v>
      </c>
      <c r="C8" s="7">
        <f>[1]tas_mh!$A$23</f>
        <v>0.25021362000000003</v>
      </c>
    </row>
    <row r="9" spans="1:3" x14ac:dyDescent="0.2">
      <c r="A9" s="28" t="s">
        <v>78</v>
      </c>
      <c r="B9" s="18">
        <v>0.06</v>
      </c>
      <c r="C9" s="7">
        <f>[1]tas_mh!$A$33</f>
        <v>-9.6801760000000001E-2</v>
      </c>
    </row>
    <row r="10" spans="1:3" x14ac:dyDescent="0.2">
      <c r="A10" s="28" t="s">
        <v>79</v>
      </c>
      <c r="B10" s="18">
        <v>-0.08</v>
      </c>
      <c r="C10" s="7">
        <f>[1]tas_mh!$A$38</f>
        <v>0.13494872999999999</v>
      </c>
    </row>
    <row r="11" spans="1:3" x14ac:dyDescent="0.2">
      <c r="A11" s="28" t="s">
        <v>80</v>
      </c>
      <c r="B11" s="18">
        <v>-0.23</v>
      </c>
      <c r="C11" s="7">
        <f>[1]tas_mh!$A$8</f>
        <v>0.38327025999999997</v>
      </c>
    </row>
    <row r="12" spans="1:3" x14ac:dyDescent="0.2">
      <c r="A12" s="28" t="s">
        <v>85</v>
      </c>
      <c r="B12" s="18">
        <v>0.01</v>
      </c>
      <c r="C12" s="7">
        <v>0</v>
      </c>
    </row>
    <row r="13" spans="1:3" x14ac:dyDescent="0.2">
      <c r="A13" s="28" t="s">
        <v>86</v>
      </c>
      <c r="B13" s="6">
        <v>0.11</v>
      </c>
      <c r="C13" s="6">
        <v>-0.2</v>
      </c>
    </row>
    <row r="14" spans="1:3" x14ac:dyDescent="0.2">
      <c r="A14" s="28" t="s">
        <v>87</v>
      </c>
      <c r="B14" s="6">
        <v>0.11</v>
      </c>
      <c r="C14" s="6">
        <v>-0.2</v>
      </c>
    </row>
    <row r="15" spans="1:3" x14ac:dyDescent="0.2">
      <c r="A15" s="28" t="s">
        <v>89</v>
      </c>
      <c r="B15" s="6">
        <v>0.32</v>
      </c>
      <c r="C15" s="6">
        <v>-0.5</v>
      </c>
    </row>
    <row r="16" spans="1:3" x14ac:dyDescent="0.2">
      <c r="A16" s="13" t="s">
        <v>90</v>
      </c>
      <c r="B16" s="19">
        <v>0.3</v>
      </c>
      <c r="C16" s="10">
        <v>-0.5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37B2-0514-8146-9B87-3ED46201F747}">
  <dimension ref="A1:H18"/>
  <sheetViews>
    <sheetView workbookViewId="0">
      <selection activeCell="B1" sqref="B1"/>
    </sheetView>
  </sheetViews>
  <sheetFormatPr baseColWidth="10" defaultRowHeight="16" x14ac:dyDescent="0.2"/>
  <cols>
    <col min="2" max="2" width="15.1640625" customWidth="1"/>
    <col min="3" max="3" width="19" customWidth="1"/>
    <col min="4" max="4" width="15.33203125" customWidth="1"/>
    <col min="5" max="5" width="15.83203125" customWidth="1"/>
    <col min="6" max="6" width="15.6640625" customWidth="1"/>
    <col min="7" max="7" width="15.83203125" customWidth="1"/>
    <col min="8" max="8" width="15.5" customWidth="1"/>
    <col min="9" max="9" width="10.1640625" bestFit="1" customWidth="1"/>
  </cols>
  <sheetData>
    <row r="1" spans="1:8" x14ac:dyDescent="0.2">
      <c r="A1" s="1" t="s">
        <v>145</v>
      </c>
      <c r="B1" s="15" t="s">
        <v>67</v>
      </c>
    </row>
    <row r="3" spans="1:8" ht="61" thickBot="1" x14ac:dyDescent="0.25">
      <c r="A3" s="12"/>
      <c r="B3" s="47" t="s">
        <v>97</v>
      </c>
      <c r="C3" s="47" t="s">
        <v>111</v>
      </c>
      <c r="D3" s="47" t="s">
        <v>94</v>
      </c>
      <c r="E3" s="47" t="s">
        <v>95</v>
      </c>
      <c r="F3" s="47" t="s">
        <v>111</v>
      </c>
      <c r="G3" s="47" t="s">
        <v>127</v>
      </c>
      <c r="H3" s="47" t="s">
        <v>111</v>
      </c>
    </row>
    <row r="4" spans="1:8" ht="17" thickTop="1" x14ac:dyDescent="0.2">
      <c r="A4" s="10" t="s">
        <v>8</v>
      </c>
      <c r="B4" s="6"/>
      <c r="C4" s="6"/>
      <c r="D4" s="6"/>
      <c r="E4" s="6"/>
      <c r="F4" s="6"/>
      <c r="G4" s="6"/>
      <c r="H4" s="15"/>
    </row>
    <row r="5" spans="1:8" x14ac:dyDescent="0.2">
      <c r="A5" s="6"/>
      <c r="B5" s="21">
        <v>16.836205017972421</v>
      </c>
      <c r="C5" s="25">
        <v>7.0124790818760765</v>
      </c>
      <c r="D5" s="20">
        <v>0.22</v>
      </c>
      <c r="E5" s="21">
        <v>0.1344622150333333</v>
      </c>
      <c r="F5" s="21">
        <v>1.2</v>
      </c>
      <c r="G5" s="21">
        <v>-3.7367706970684589</v>
      </c>
      <c r="H5" s="21">
        <v>8.9341544301650782</v>
      </c>
    </row>
    <row r="6" spans="1:8" x14ac:dyDescent="0.2">
      <c r="A6" s="6"/>
      <c r="B6" s="7">
        <v>29.208407648416848</v>
      </c>
      <c r="C6" s="26">
        <v>8.5284188532384757</v>
      </c>
      <c r="D6" s="18">
        <v>-0.56000000000000005</v>
      </c>
      <c r="E6" s="7">
        <v>1.870453242825</v>
      </c>
      <c r="F6" s="7">
        <v>1.5</v>
      </c>
      <c r="G6" s="7">
        <v>-1.901670475867312</v>
      </c>
      <c r="H6" s="7">
        <v>0.85344626399487422</v>
      </c>
    </row>
    <row r="7" spans="1:8" x14ac:dyDescent="0.2">
      <c r="A7" s="6"/>
      <c r="B7" s="7">
        <v>19.155254695392749</v>
      </c>
      <c r="C7" s="26">
        <v>2.5944004524013202</v>
      </c>
      <c r="D7" s="18">
        <v>-0.31</v>
      </c>
      <c r="E7" s="7">
        <v>-0.11630190970000003</v>
      </c>
      <c r="F7" s="7">
        <v>0.6</v>
      </c>
      <c r="G7" s="7">
        <v>-3.9657147932015135</v>
      </c>
      <c r="H7" s="7">
        <v>5.1607642333459323</v>
      </c>
    </row>
    <row r="8" spans="1:8" x14ac:dyDescent="0.2">
      <c r="A8" s="6"/>
      <c r="B8" s="7">
        <v>26.990562546709231</v>
      </c>
      <c r="C8" s="26">
        <v>6.8315538139509835</v>
      </c>
      <c r="D8" s="18">
        <v>-0.87</v>
      </c>
      <c r="E8" s="7">
        <v>1.1399995560666667</v>
      </c>
      <c r="F8" s="7">
        <v>1</v>
      </c>
      <c r="G8" s="7">
        <v>-2.6473492213375804</v>
      </c>
      <c r="H8" s="7">
        <v>0.91297989276993197</v>
      </c>
    </row>
    <row r="9" spans="1:8" x14ac:dyDescent="0.2">
      <c r="A9" s="6"/>
      <c r="B9" s="7">
        <v>17.721670318331991</v>
      </c>
      <c r="C9" s="26">
        <v>9.388590928940582</v>
      </c>
      <c r="D9" s="18">
        <v>-0.99</v>
      </c>
      <c r="E9" s="7">
        <v>-0.91264248980000007</v>
      </c>
      <c r="F9" s="7">
        <v>2.4</v>
      </c>
      <c r="G9" s="7">
        <v>-4.7718076136368248</v>
      </c>
      <c r="H9" s="7">
        <v>2.6825599282243311</v>
      </c>
    </row>
    <row r="10" spans="1:8" x14ac:dyDescent="0.2">
      <c r="A10" s="6"/>
      <c r="B10" s="7">
        <v>26.590992575997731</v>
      </c>
      <c r="C10" s="26">
        <v>4.5965123742003682</v>
      </c>
      <c r="D10" s="18">
        <v>-0.48</v>
      </c>
      <c r="E10" s="7">
        <v>1.4596863669333333</v>
      </c>
      <c r="F10" s="7">
        <v>0.8</v>
      </c>
      <c r="G10" s="7">
        <v>-2.3321548795737224</v>
      </c>
      <c r="H10" s="7">
        <v>0.57467684715307221</v>
      </c>
    </row>
    <row r="11" spans="1:8" x14ac:dyDescent="0.2">
      <c r="A11" s="6"/>
      <c r="B11" s="7">
        <v>14.860833433455641</v>
      </c>
      <c r="C11" s="26">
        <v>10.644037114987004</v>
      </c>
      <c r="D11" s="18">
        <v>-0.2</v>
      </c>
      <c r="E11" s="7">
        <v>-0.74738138260000009</v>
      </c>
      <c r="F11" s="7">
        <v>2.7</v>
      </c>
      <c r="G11" s="7">
        <v>-4.6333579061433872</v>
      </c>
      <c r="H11" s="7">
        <v>3.6829317540654509</v>
      </c>
    </row>
    <row r="12" spans="1:8" x14ac:dyDescent="0.2">
      <c r="A12" s="6"/>
      <c r="B12" s="7">
        <v>21.965215503220939</v>
      </c>
      <c r="C12" s="26">
        <v>2.8177886675816195</v>
      </c>
      <c r="D12" s="18">
        <v>0</v>
      </c>
      <c r="E12" s="7">
        <v>1.0096920281333333</v>
      </c>
      <c r="F12" s="7">
        <v>0.6</v>
      </c>
      <c r="G12" s="7">
        <v>-2.8194372441606719</v>
      </c>
      <c r="H12" s="7">
        <v>0.60792985938232991</v>
      </c>
    </row>
    <row r="13" spans="1:8" x14ac:dyDescent="0.2">
      <c r="A13" s="6"/>
      <c r="B13" s="7">
        <v>19.585084296733381</v>
      </c>
      <c r="C13" s="26">
        <v>2.8611886817932111</v>
      </c>
      <c r="D13" s="18">
        <v>-0.25</v>
      </c>
      <c r="E13" s="7">
        <v>0.25777177886333336</v>
      </c>
      <c r="F13" s="7">
        <v>0.4</v>
      </c>
      <c r="G13" s="7">
        <v>-3.5892711391457555</v>
      </c>
      <c r="H13" s="7">
        <v>1.5586218967045871</v>
      </c>
    </row>
    <row r="14" spans="1:8" x14ac:dyDescent="0.2">
      <c r="A14" s="6"/>
      <c r="B14" s="7">
        <v>14.8832637093951</v>
      </c>
      <c r="C14" s="26">
        <v>5.6951819374756019</v>
      </c>
      <c r="D14" s="18">
        <v>0.22</v>
      </c>
      <c r="E14" s="7">
        <v>-0.28383912893333335</v>
      </c>
      <c r="F14" s="7">
        <v>1.1000000000000001</v>
      </c>
      <c r="G14" s="7">
        <v>-4.1714098930059063</v>
      </c>
      <c r="H14" s="7">
        <v>3.8942804309624051</v>
      </c>
    </row>
    <row r="15" spans="1:8" x14ac:dyDescent="0.2">
      <c r="A15" s="6"/>
      <c r="B15" s="7">
        <v>22.872805236672569</v>
      </c>
      <c r="C15" s="26">
        <v>5.7817601806335546</v>
      </c>
      <c r="D15" s="18">
        <v>-0.04</v>
      </c>
      <c r="E15" s="7">
        <v>1.1434864212000002</v>
      </c>
      <c r="F15" s="7">
        <v>0.7</v>
      </c>
      <c r="G15" s="7">
        <v>-2.6783552370786001</v>
      </c>
      <c r="H15" s="7">
        <v>0.66229946018143337</v>
      </c>
    </row>
    <row r="16" spans="1:8" x14ac:dyDescent="0.2">
      <c r="A16" s="6"/>
      <c r="B16" s="7">
        <v>18.341164615947601</v>
      </c>
      <c r="C16" s="26">
        <v>6.592811741402266</v>
      </c>
      <c r="D16" s="18">
        <v>-0.05</v>
      </c>
      <c r="E16" s="7">
        <v>-7.0954205179999993E-2</v>
      </c>
      <c r="F16" s="7">
        <v>1.1000000000000001</v>
      </c>
      <c r="G16" s="7">
        <v>-3.9278029712683793</v>
      </c>
      <c r="H16" s="7">
        <v>15.507123741602886</v>
      </c>
    </row>
    <row r="17" spans="1:8" x14ac:dyDescent="0.2">
      <c r="A17" s="6"/>
      <c r="B17" s="7">
        <v>16.47706093467394</v>
      </c>
      <c r="C17" s="26">
        <v>3.7140484701601739</v>
      </c>
      <c r="D17" s="18">
        <v>-0.76</v>
      </c>
      <c r="E17" s="7">
        <v>-0.59955047637999992</v>
      </c>
      <c r="F17" s="7">
        <v>1</v>
      </c>
      <c r="G17" s="7">
        <v>-4.4712155451306357</v>
      </c>
      <c r="H17" s="7">
        <v>1.6830784681094781</v>
      </c>
    </row>
    <row r="18" spans="1:8" x14ac:dyDescent="0.2">
      <c r="A18" s="10"/>
      <c r="B18" s="11">
        <v>13.18221181523481</v>
      </c>
      <c r="C18" s="27">
        <v>2.6291137797933928</v>
      </c>
      <c r="D18" s="19">
        <v>-0.95</v>
      </c>
      <c r="E18" s="11">
        <v>-1.8065034232250001</v>
      </c>
      <c r="F18" s="11">
        <v>0.8</v>
      </c>
      <c r="G18" s="11">
        <v>-5.7040776619491362</v>
      </c>
      <c r="H18" s="11">
        <v>0.48568418825398629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34B8-5A32-EF4B-BB54-6B8D82170F67}">
  <dimension ref="A1:L37"/>
  <sheetViews>
    <sheetView workbookViewId="0">
      <selection activeCell="B1" sqref="B1"/>
    </sheetView>
  </sheetViews>
  <sheetFormatPr baseColWidth="10" defaultRowHeight="16" x14ac:dyDescent="0.2"/>
  <cols>
    <col min="2" max="2" width="13.83203125" customWidth="1"/>
  </cols>
  <sheetData>
    <row r="1" spans="1:12" x14ac:dyDescent="0.2">
      <c r="A1" s="1" t="s">
        <v>135</v>
      </c>
      <c r="B1" s="1" t="s">
        <v>137</v>
      </c>
    </row>
    <row r="3" spans="1:12" ht="86" thickBot="1" x14ac:dyDescent="0.25">
      <c r="A3" s="41" t="s">
        <v>5</v>
      </c>
      <c r="B3" s="41" t="s">
        <v>97</v>
      </c>
      <c r="C3" s="41" t="s">
        <v>136</v>
      </c>
      <c r="D3" s="41" t="s">
        <v>129</v>
      </c>
      <c r="E3" s="41" t="s">
        <v>130</v>
      </c>
      <c r="F3" s="41" t="s">
        <v>131</v>
      </c>
      <c r="G3" s="41" t="s">
        <v>132</v>
      </c>
      <c r="H3" s="41" t="s">
        <v>133</v>
      </c>
      <c r="I3" s="41" t="s">
        <v>93</v>
      </c>
      <c r="J3" s="41" t="s">
        <v>128</v>
      </c>
      <c r="K3" s="41" t="s">
        <v>134</v>
      </c>
      <c r="L3" s="33"/>
    </row>
    <row r="4" spans="1:12" ht="17" thickTop="1" x14ac:dyDescent="0.2">
      <c r="A4" s="6" t="s">
        <v>39</v>
      </c>
      <c r="B4" s="6">
        <v>28.4</v>
      </c>
      <c r="C4" s="6">
        <v>1.5</v>
      </c>
      <c r="D4" s="6">
        <v>-3.5</v>
      </c>
      <c r="E4" s="6">
        <v>1.9981999999999999E-3</v>
      </c>
      <c r="F4" s="6">
        <v>1.01</v>
      </c>
      <c r="G4" s="6">
        <v>1.9802000000000001E-3</v>
      </c>
      <c r="H4" s="7">
        <v>-12.49</v>
      </c>
      <c r="I4" s="6">
        <v>0.87</v>
      </c>
      <c r="J4" s="6">
        <v>0</v>
      </c>
      <c r="K4" s="6">
        <v>1.4</v>
      </c>
      <c r="L4" s="34"/>
    </row>
    <row r="5" spans="1:12" x14ac:dyDescent="0.2">
      <c r="A5" s="6" t="s">
        <v>40</v>
      </c>
      <c r="B5" s="6">
        <v>19.399999999999999</v>
      </c>
      <c r="C5" s="6">
        <v>-0.4</v>
      </c>
      <c r="D5" s="6">
        <v>-3.5</v>
      </c>
      <c r="E5" s="6">
        <v>1.9981999999999999E-3</v>
      </c>
      <c r="F5" s="6">
        <v>1.01</v>
      </c>
      <c r="G5" s="6">
        <v>1.9786999999999999E-3</v>
      </c>
      <c r="H5" s="7">
        <v>-13.22</v>
      </c>
      <c r="I5" s="6">
        <v>0.92</v>
      </c>
      <c r="J5" s="6">
        <v>0</v>
      </c>
      <c r="K5" s="6">
        <v>-0.4</v>
      </c>
      <c r="L5" s="34"/>
    </row>
    <row r="6" spans="1:12" x14ac:dyDescent="0.2">
      <c r="A6" s="6" t="s">
        <v>41</v>
      </c>
      <c r="B6" s="6">
        <v>18.3</v>
      </c>
      <c r="C6" s="6">
        <v>-0.2</v>
      </c>
      <c r="D6" s="6">
        <v>-3.5</v>
      </c>
      <c r="E6" s="6">
        <v>1.9981999999999999E-3</v>
      </c>
      <c r="F6" s="6">
        <v>1.01</v>
      </c>
      <c r="G6" s="6">
        <v>1.9784999999999998E-3</v>
      </c>
      <c r="H6" s="7">
        <v>-13.31</v>
      </c>
      <c r="I6" s="6">
        <v>0.92</v>
      </c>
      <c r="J6" s="6">
        <v>0</v>
      </c>
      <c r="K6" s="6">
        <v>-0.4</v>
      </c>
      <c r="L6" s="34"/>
    </row>
    <row r="7" spans="1:12" x14ac:dyDescent="0.2">
      <c r="A7" s="6" t="s">
        <v>42</v>
      </c>
      <c r="B7" s="6">
        <v>12.4</v>
      </c>
      <c r="C7" s="6">
        <v>-2.6</v>
      </c>
      <c r="D7" s="6">
        <v>-3.5</v>
      </c>
      <c r="E7" s="6">
        <v>1.9981999999999999E-3</v>
      </c>
      <c r="F7" s="6">
        <v>1.01</v>
      </c>
      <c r="G7" s="6">
        <v>1.9775000000000001E-3</v>
      </c>
      <c r="H7" s="7">
        <v>-13.83</v>
      </c>
      <c r="I7" s="6">
        <v>0.98</v>
      </c>
      <c r="J7" s="6">
        <v>0</v>
      </c>
      <c r="K7" s="6">
        <v>-2.7</v>
      </c>
      <c r="L7" s="34"/>
    </row>
    <row r="8" spans="1:12" x14ac:dyDescent="0.2">
      <c r="A8" s="6" t="s">
        <v>43</v>
      </c>
      <c r="B8" s="6">
        <v>15.6</v>
      </c>
      <c r="C8" s="6">
        <v>-0.9</v>
      </c>
      <c r="D8" s="6">
        <v>-3.5</v>
      </c>
      <c r="E8" s="6">
        <v>1.9981999999999999E-3</v>
      </c>
      <c r="F8" s="6">
        <v>1.01</v>
      </c>
      <c r="G8" s="6">
        <v>1.9780000000000002E-3</v>
      </c>
      <c r="H8" s="7">
        <v>-13.54</v>
      </c>
      <c r="I8" s="6">
        <v>0.93</v>
      </c>
      <c r="J8" s="6">
        <v>0</v>
      </c>
      <c r="K8" s="6">
        <v>-0.8</v>
      </c>
      <c r="L8" s="34"/>
    </row>
    <row r="9" spans="1:12" x14ac:dyDescent="0.2">
      <c r="A9" s="6" t="s">
        <v>50</v>
      </c>
      <c r="B9" s="6">
        <v>25.4</v>
      </c>
      <c r="C9" s="6">
        <v>0.6</v>
      </c>
      <c r="D9" s="6">
        <v>-3.5</v>
      </c>
      <c r="E9" s="6">
        <v>1.9981999999999999E-3</v>
      </c>
      <c r="F9" s="6">
        <v>1.01</v>
      </c>
      <c r="G9" s="6">
        <v>1.9797E-3</v>
      </c>
      <c r="H9" s="7">
        <v>-12.72</v>
      </c>
      <c r="I9" s="6">
        <v>0.89</v>
      </c>
      <c r="J9" s="6">
        <v>0</v>
      </c>
      <c r="K9" s="6">
        <v>0.7</v>
      </c>
      <c r="L9" s="34"/>
    </row>
    <row r="10" spans="1:12" x14ac:dyDescent="0.2">
      <c r="A10" s="6" t="s">
        <v>51</v>
      </c>
      <c r="B10" s="6">
        <v>23</v>
      </c>
      <c r="C10" s="6">
        <v>0.6</v>
      </c>
      <c r="D10" s="6">
        <v>-3.5</v>
      </c>
      <c r="E10" s="6">
        <v>1.9981999999999999E-3</v>
      </c>
      <c r="F10" s="6">
        <v>1.01</v>
      </c>
      <c r="G10" s="6">
        <v>1.9792999999999998E-3</v>
      </c>
      <c r="H10" s="7">
        <v>-12.92</v>
      </c>
      <c r="I10" s="6">
        <v>0.89</v>
      </c>
      <c r="J10" s="6">
        <v>0</v>
      </c>
      <c r="K10" s="6">
        <v>0.7</v>
      </c>
      <c r="L10" s="34"/>
    </row>
    <row r="11" spans="1:12" x14ac:dyDescent="0.2">
      <c r="A11" s="6" t="s">
        <v>52</v>
      </c>
      <c r="B11" s="6">
        <v>20.8</v>
      </c>
      <c r="C11" s="6">
        <v>-0.2</v>
      </c>
      <c r="D11" s="6">
        <v>-3.5</v>
      </c>
      <c r="E11" s="6">
        <v>1.9981999999999999E-3</v>
      </c>
      <c r="F11" s="6">
        <v>1.01</v>
      </c>
      <c r="G11" s="6">
        <v>1.9789E-3</v>
      </c>
      <c r="H11" s="7">
        <v>-13.1</v>
      </c>
      <c r="I11" s="6">
        <v>0.92</v>
      </c>
      <c r="J11" s="6">
        <v>0</v>
      </c>
      <c r="K11" s="6">
        <v>-0.4</v>
      </c>
      <c r="L11" s="34"/>
    </row>
    <row r="12" spans="1:12" x14ac:dyDescent="0.2">
      <c r="A12" s="6" t="s">
        <v>53</v>
      </c>
      <c r="B12" s="6">
        <v>20.3</v>
      </c>
      <c r="C12" s="6">
        <v>-0.7</v>
      </c>
      <c r="D12" s="6">
        <v>-3.5</v>
      </c>
      <c r="E12" s="6">
        <v>1.9981999999999999E-3</v>
      </c>
      <c r="F12" s="6">
        <v>1.01</v>
      </c>
      <c r="G12" s="6">
        <v>1.9789E-3</v>
      </c>
      <c r="H12" s="7">
        <v>-13.14</v>
      </c>
      <c r="I12" s="6">
        <v>0.93</v>
      </c>
      <c r="J12" s="6">
        <v>0</v>
      </c>
      <c r="K12" s="6">
        <v>-0.8</v>
      </c>
      <c r="L12" s="34"/>
    </row>
    <row r="13" spans="1:12" x14ac:dyDescent="0.2">
      <c r="A13" s="6" t="s">
        <v>54</v>
      </c>
      <c r="B13" s="6">
        <v>8.3000000000000007</v>
      </c>
      <c r="C13" s="6">
        <v>-3.3</v>
      </c>
      <c r="D13" s="6">
        <v>-3.5</v>
      </c>
      <c r="E13" s="6">
        <v>1.9981999999999999E-3</v>
      </c>
      <c r="F13" s="6">
        <v>1.01</v>
      </c>
      <c r="G13" s="6">
        <v>1.9767000000000001E-3</v>
      </c>
      <c r="H13" s="7">
        <v>-14.21</v>
      </c>
      <c r="I13" s="6">
        <v>1</v>
      </c>
      <c r="J13" s="6">
        <v>0</v>
      </c>
      <c r="K13" s="6">
        <v>-3.5</v>
      </c>
      <c r="L13" s="34"/>
    </row>
    <row r="14" spans="1:12" x14ac:dyDescent="0.2">
      <c r="A14" s="6" t="s">
        <v>55</v>
      </c>
      <c r="B14" s="6">
        <v>11</v>
      </c>
      <c r="C14" s="6">
        <v>-2.5</v>
      </c>
      <c r="D14" s="6">
        <v>-3.5</v>
      </c>
      <c r="E14" s="6">
        <v>1.9981999999999999E-3</v>
      </c>
      <c r="F14" s="6">
        <v>1.01</v>
      </c>
      <c r="G14" s="6">
        <v>1.9772000000000001E-3</v>
      </c>
      <c r="H14" s="7">
        <v>-13.96</v>
      </c>
      <c r="I14" s="6">
        <v>0.97</v>
      </c>
      <c r="J14" s="6">
        <v>0</v>
      </c>
      <c r="K14" s="6">
        <v>-2.2999999999999998</v>
      </c>
      <c r="L14" s="34"/>
    </row>
    <row r="15" spans="1:12" x14ac:dyDescent="0.2">
      <c r="A15" s="6" t="s">
        <v>56</v>
      </c>
      <c r="B15" s="6">
        <v>24.9</v>
      </c>
      <c r="C15" s="6">
        <v>0.7</v>
      </c>
      <c r="D15" s="6">
        <v>-3.5</v>
      </c>
      <c r="E15" s="6">
        <v>1.9981999999999999E-3</v>
      </c>
      <c r="F15" s="6">
        <v>1.01</v>
      </c>
      <c r="G15" s="6">
        <v>1.9796000000000002E-3</v>
      </c>
      <c r="H15" s="7">
        <v>-12.76</v>
      </c>
      <c r="I15" s="6">
        <v>0.89</v>
      </c>
      <c r="J15" s="6">
        <v>0</v>
      </c>
      <c r="K15" s="6">
        <v>0.7</v>
      </c>
      <c r="L15" s="34"/>
    </row>
    <row r="16" spans="1:12" x14ac:dyDescent="0.2">
      <c r="A16" s="6" t="s">
        <v>57</v>
      </c>
      <c r="B16" s="6">
        <v>25.2</v>
      </c>
      <c r="C16" s="6">
        <v>1.1000000000000001</v>
      </c>
      <c r="D16" s="6">
        <v>-3.5</v>
      </c>
      <c r="E16" s="6">
        <v>1.9981999999999999E-3</v>
      </c>
      <c r="F16" s="6">
        <v>1.01</v>
      </c>
      <c r="G16" s="6">
        <v>1.9797E-3</v>
      </c>
      <c r="H16" s="7">
        <v>-12.74</v>
      </c>
      <c r="I16" s="6">
        <v>0.88</v>
      </c>
      <c r="J16" s="6">
        <v>0</v>
      </c>
      <c r="K16" s="6">
        <v>1.1000000000000001</v>
      </c>
      <c r="L16" s="34"/>
    </row>
    <row r="17" spans="1:12" x14ac:dyDescent="0.2">
      <c r="A17" s="6" t="s">
        <v>44</v>
      </c>
      <c r="B17" s="6">
        <v>24.9</v>
      </c>
      <c r="C17" s="6">
        <v>0.9</v>
      </c>
      <c r="D17" s="6">
        <v>-3.5</v>
      </c>
      <c r="E17" s="6">
        <v>1.9981999999999999E-3</v>
      </c>
      <c r="F17" s="6">
        <v>1.01</v>
      </c>
      <c r="G17" s="6">
        <v>1.9796000000000002E-3</v>
      </c>
      <c r="H17" s="7">
        <v>-12.76</v>
      </c>
      <c r="I17" s="6">
        <v>0.89</v>
      </c>
      <c r="J17" s="6">
        <v>0</v>
      </c>
      <c r="K17" s="6">
        <v>0.7</v>
      </c>
      <c r="L17" s="34"/>
    </row>
    <row r="18" spans="1:12" x14ac:dyDescent="0.2">
      <c r="A18" s="6" t="s">
        <v>45</v>
      </c>
      <c r="B18" s="6">
        <v>21.5</v>
      </c>
      <c r="C18" s="6">
        <v>-0.1</v>
      </c>
      <c r="D18" s="6">
        <v>-3.5</v>
      </c>
      <c r="E18" s="6">
        <v>1.9981999999999999E-3</v>
      </c>
      <c r="F18" s="6">
        <v>1.01</v>
      </c>
      <c r="G18" s="6">
        <v>1.9791000000000001E-3</v>
      </c>
      <c r="H18" s="7">
        <v>-13.04</v>
      </c>
      <c r="I18" s="6">
        <v>0.91</v>
      </c>
      <c r="J18" s="6">
        <v>0</v>
      </c>
      <c r="K18" s="6">
        <v>-0.1</v>
      </c>
      <c r="L18" s="34"/>
    </row>
    <row r="19" spans="1:12" x14ac:dyDescent="0.2">
      <c r="A19" s="6" t="s">
        <v>46</v>
      </c>
      <c r="B19" s="6">
        <v>24.3</v>
      </c>
      <c r="C19" s="6">
        <v>0.5</v>
      </c>
      <c r="D19" s="6">
        <v>-3.5</v>
      </c>
      <c r="E19" s="6">
        <v>1.9981999999999999E-3</v>
      </c>
      <c r="F19" s="6">
        <v>1.01</v>
      </c>
      <c r="G19" s="6">
        <v>1.9794999999999999E-3</v>
      </c>
      <c r="H19" s="7">
        <v>-12.81</v>
      </c>
      <c r="I19" s="6">
        <v>0.9</v>
      </c>
      <c r="J19" s="6">
        <v>0</v>
      </c>
      <c r="K19" s="6">
        <v>0.3</v>
      </c>
      <c r="L19" s="34"/>
    </row>
    <row r="20" spans="1:12" x14ac:dyDescent="0.2">
      <c r="A20" s="6" t="s">
        <v>47</v>
      </c>
      <c r="B20" s="6">
        <v>22.8</v>
      </c>
      <c r="C20" s="6">
        <v>0.1</v>
      </c>
      <c r="D20" s="6">
        <v>-3.5</v>
      </c>
      <c r="E20" s="6">
        <v>1.9981999999999999E-3</v>
      </c>
      <c r="F20" s="6">
        <v>1.01</v>
      </c>
      <c r="G20" s="6">
        <v>1.9792999999999998E-3</v>
      </c>
      <c r="H20" s="7">
        <v>-12.93</v>
      </c>
      <c r="I20" s="6">
        <v>0.9</v>
      </c>
      <c r="J20" s="6">
        <v>0</v>
      </c>
      <c r="K20" s="6">
        <v>0.3</v>
      </c>
      <c r="L20" s="34"/>
    </row>
    <row r="21" spans="1:12" x14ac:dyDescent="0.2">
      <c r="A21" s="6" t="s">
        <v>48</v>
      </c>
      <c r="B21" s="6">
        <v>29.3</v>
      </c>
      <c r="C21" s="6">
        <v>1.3</v>
      </c>
      <c r="D21" s="6">
        <v>-3.5</v>
      </c>
      <c r="E21" s="6">
        <v>1.9981999999999999E-3</v>
      </c>
      <c r="F21" s="6">
        <v>1.01</v>
      </c>
      <c r="G21" s="6">
        <v>1.9802999999999999E-3</v>
      </c>
      <c r="H21" s="7">
        <v>-12.42</v>
      </c>
      <c r="I21" s="6">
        <v>0.87</v>
      </c>
      <c r="J21" s="6">
        <v>0</v>
      </c>
      <c r="K21" s="6">
        <v>1.4</v>
      </c>
      <c r="L21" s="34"/>
    </row>
    <row r="22" spans="1:12" x14ac:dyDescent="0.2">
      <c r="A22" s="6" t="s">
        <v>49</v>
      </c>
      <c r="B22" s="6">
        <v>24.4</v>
      </c>
      <c r="C22" s="6">
        <v>0.9</v>
      </c>
      <c r="D22" s="6">
        <v>-3.5</v>
      </c>
      <c r="E22" s="6">
        <v>1.9981999999999999E-3</v>
      </c>
      <c r="F22" s="6">
        <v>1.01</v>
      </c>
      <c r="G22" s="6">
        <v>1.9794999999999999E-3</v>
      </c>
      <c r="H22" s="7">
        <v>-12.8</v>
      </c>
      <c r="I22" s="6">
        <v>0.89</v>
      </c>
      <c r="J22" s="6">
        <v>0</v>
      </c>
      <c r="K22" s="6">
        <v>0.7</v>
      </c>
      <c r="L22" s="34"/>
    </row>
    <row r="23" spans="1:12" x14ac:dyDescent="0.2">
      <c r="A23" s="6" t="s">
        <v>11</v>
      </c>
      <c r="B23" s="6">
        <v>14.2</v>
      </c>
      <c r="C23" s="6">
        <v>1.5</v>
      </c>
      <c r="D23" s="6">
        <v>-2.2999999999999998</v>
      </c>
      <c r="E23" s="6">
        <v>2.0005999999999999E-3</v>
      </c>
      <c r="F23" s="6">
        <v>1.01</v>
      </c>
      <c r="G23" s="6">
        <v>1.9802000000000001E-3</v>
      </c>
      <c r="H23" s="7">
        <v>-12.48</v>
      </c>
      <c r="I23" s="6">
        <v>0.9</v>
      </c>
      <c r="J23" s="6">
        <v>0</v>
      </c>
      <c r="K23" s="6">
        <v>1.6</v>
      </c>
      <c r="L23" s="33"/>
    </row>
    <row r="24" spans="1:12" x14ac:dyDescent="0.2">
      <c r="A24" s="6" t="s">
        <v>12</v>
      </c>
      <c r="B24" s="6">
        <v>6</v>
      </c>
      <c r="C24" s="6">
        <v>-0.7</v>
      </c>
      <c r="D24" s="6">
        <v>-2.2999999999999998</v>
      </c>
      <c r="E24" s="6">
        <v>2.0005999999999999E-3</v>
      </c>
      <c r="F24" s="6">
        <v>1.01</v>
      </c>
      <c r="G24" s="6">
        <v>1.9786000000000001E-3</v>
      </c>
      <c r="H24" s="7">
        <v>-13.25</v>
      </c>
      <c r="I24" s="6">
        <v>0.96</v>
      </c>
      <c r="J24" s="6">
        <v>0</v>
      </c>
      <c r="K24" s="6">
        <v>-0.7</v>
      </c>
      <c r="L24" s="33"/>
    </row>
    <row r="25" spans="1:12" x14ac:dyDescent="0.2">
      <c r="A25" s="6" t="s">
        <v>13</v>
      </c>
      <c r="B25" s="6">
        <v>9.1999999999999993</v>
      </c>
      <c r="C25" s="6">
        <v>-1.2</v>
      </c>
      <c r="D25" s="6">
        <v>-2.2999999999999998</v>
      </c>
      <c r="E25" s="6">
        <v>2.0005999999999999E-3</v>
      </c>
      <c r="F25" s="6">
        <v>1.01</v>
      </c>
      <c r="G25" s="6">
        <v>1.9792E-3</v>
      </c>
      <c r="H25" s="7">
        <v>-12.94</v>
      </c>
      <c r="I25" s="6">
        <v>0.97</v>
      </c>
      <c r="J25" s="6">
        <v>0</v>
      </c>
      <c r="K25" s="6">
        <v>-1.1000000000000001</v>
      </c>
      <c r="L25" s="33"/>
    </row>
    <row r="26" spans="1:12" x14ac:dyDescent="0.2">
      <c r="A26" s="6" t="s">
        <v>14</v>
      </c>
      <c r="B26" s="6">
        <v>12.4</v>
      </c>
      <c r="C26" s="6">
        <v>-1.7</v>
      </c>
      <c r="D26" s="6">
        <v>-2.2999999999999998</v>
      </c>
      <c r="E26" s="6">
        <v>2.0005999999999999E-3</v>
      </c>
      <c r="F26" s="6">
        <v>1.01</v>
      </c>
      <c r="G26" s="6">
        <v>1.9797999999999999E-3</v>
      </c>
      <c r="H26" s="7">
        <v>-12.64</v>
      </c>
      <c r="I26" s="6">
        <v>0.99</v>
      </c>
      <c r="J26" s="6">
        <v>0</v>
      </c>
      <c r="K26" s="6">
        <v>-1.9</v>
      </c>
      <c r="L26" s="33"/>
    </row>
    <row r="27" spans="1:12" x14ac:dyDescent="0.2">
      <c r="A27" s="6" t="s">
        <v>15</v>
      </c>
      <c r="B27" s="6">
        <v>13.6</v>
      </c>
      <c r="C27" s="6">
        <v>-0.6</v>
      </c>
      <c r="D27" s="6">
        <v>-2.2999999999999998</v>
      </c>
      <c r="E27" s="6">
        <v>2.0005999999999999E-3</v>
      </c>
      <c r="F27" s="6">
        <v>1.01</v>
      </c>
      <c r="G27" s="6">
        <v>1.9800999999999998E-3</v>
      </c>
      <c r="H27" s="7">
        <v>-12.54</v>
      </c>
      <c r="I27" s="6">
        <v>0.96</v>
      </c>
      <c r="J27" s="6">
        <v>0</v>
      </c>
      <c r="K27" s="6">
        <v>-0.7</v>
      </c>
      <c r="L27" s="33"/>
    </row>
    <row r="28" spans="1:12" x14ac:dyDescent="0.2">
      <c r="A28" s="6" t="s">
        <v>16</v>
      </c>
      <c r="B28" s="6">
        <v>19.8</v>
      </c>
      <c r="C28" s="6">
        <v>1.9</v>
      </c>
      <c r="D28" s="6">
        <v>-2.2999999999999998</v>
      </c>
      <c r="E28" s="6">
        <v>2.0005999999999999E-3</v>
      </c>
      <c r="F28" s="6">
        <v>1.01</v>
      </c>
      <c r="G28" s="6">
        <v>1.9811999999999998E-3</v>
      </c>
      <c r="H28" s="7">
        <v>-11.99</v>
      </c>
      <c r="I28" s="6">
        <v>0.89</v>
      </c>
      <c r="J28" s="6">
        <v>0</v>
      </c>
      <c r="K28" s="6">
        <v>1.9</v>
      </c>
      <c r="L28" s="33"/>
    </row>
    <row r="29" spans="1:12" x14ac:dyDescent="0.2">
      <c r="A29" s="6" t="s">
        <v>17</v>
      </c>
      <c r="B29" s="6">
        <v>11.7</v>
      </c>
      <c r="C29" s="6">
        <v>1.1000000000000001</v>
      </c>
      <c r="D29" s="6">
        <v>-2.2999999999999998</v>
      </c>
      <c r="E29" s="6">
        <v>2.0005999999999999E-3</v>
      </c>
      <c r="F29" s="6">
        <v>1.01</v>
      </c>
      <c r="G29" s="6">
        <v>1.9797E-3</v>
      </c>
      <c r="H29" s="7">
        <v>-12.71</v>
      </c>
      <c r="I29" s="6">
        <v>0.91</v>
      </c>
      <c r="J29" s="6">
        <v>0</v>
      </c>
      <c r="K29" s="6">
        <v>1.2</v>
      </c>
      <c r="L29" s="33"/>
    </row>
    <row r="30" spans="1:12" x14ac:dyDescent="0.2">
      <c r="A30" s="6" t="s">
        <v>18</v>
      </c>
      <c r="B30" s="6">
        <v>17</v>
      </c>
      <c r="C30" s="6">
        <v>1.5</v>
      </c>
      <c r="D30" s="6">
        <v>-2.2999999999999998</v>
      </c>
      <c r="E30" s="6">
        <v>2.0005999999999999E-3</v>
      </c>
      <c r="F30" s="6">
        <v>1.01</v>
      </c>
      <c r="G30" s="6">
        <v>1.9807000000000002E-3</v>
      </c>
      <c r="H30" s="7">
        <v>-12.23</v>
      </c>
      <c r="I30" s="6">
        <v>0.9</v>
      </c>
      <c r="J30" s="6">
        <v>0</v>
      </c>
      <c r="K30" s="6">
        <v>1.6</v>
      </c>
      <c r="L30" s="33"/>
    </row>
    <row r="31" spans="1:12" x14ac:dyDescent="0.2">
      <c r="A31" s="6" t="s">
        <v>19</v>
      </c>
      <c r="B31" s="6">
        <v>14.8</v>
      </c>
      <c r="C31" s="6">
        <v>1.2</v>
      </c>
      <c r="D31" s="6">
        <v>-2.2999999999999998</v>
      </c>
      <c r="E31" s="6">
        <v>2.0005999999999999E-3</v>
      </c>
      <c r="F31" s="6">
        <v>1.01</v>
      </c>
      <c r="G31" s="6">
        <v>1.9802999999999999E-3</v>
      </c>
      <c r="H31" s="7">
        <v>-12.43</v>
      </c>
      <c r="I31" s="6">
        <v>0.91</v>
      </c>
      <c r="J31" s="6">
        <v>0</v>
      </c>
      <c r="K31" s="6">
        <v>1.2</v>
      </c>
      <c r="L31" s="33"/>
    </row>
    <row r="32" spans="1:12" x14ac:dyDescent="0.2">
      <c r="A32" s="6" t="s">
        <v>20</v>
      </c>
      <c r="B32" s="6">
        <v>15.6</v>
      </c>
      <c r="C32" s="6">
        <v>1.6</v>
      </c>
      <c r="D32" s="6">
        <v>-2.2999999999999998</v>
      </c>
      <c r="E32" s="6">
        <v>2.0005999999999999E-3</v>
      </c>
      <c r="F32" s="6">
        <v>1.01</v>
      </c>
      <c r="G32" s="6">
        <v>1.9804000000000002E-3</v>
      </c>
      <c r="H32" s="7">
        <v>-12.36</v>
      </c>
      <c r="I32" s="6">
        <v>0.9</v>
      </c>
      <c r="J32" s="6">
        <v>0</v>
      </c>
      <c r="K32" s="6">
        <v>1.6</v>
      </c>
      <c r="L32" s="33"/>
    </row>
    <row r="33" spans="1:12" x14ac:dyDescent="0.2">
      <c r="A33" s="6" t="s">
        <v>21</v>
      </c>
      <c r="B33" s="6">
        <v>10.9</v>
      </c>
      <c r="C33" s="6">
        <v>0</v>
      </c>
      <c r="D33" s="6">
        <v>-2.2999999999999998</v>
      </c>
      <c r="E33" s="6">
        <v>2.0005999999999999E-3</v>
      </c>
      <c r="F33" s="6">
        <v>1.01</v>
      </c>
      <c r="G33" s="6">
        <v>1.9796000000000002E-3</v>
      </c>
      <c r="H33" s="7">
        <v>-12.78</v>
      </c>
      <c r="I33" s="6">
        <v>0.94</v>
      </c>
      <c r="J33" s="6">
        <v>0</v>
      </c>
      <c r="K33" s="6">
        <v>0.1</v>
      </c>
      <c r="L33" s="33"/>
    </row>
    <row r="34" spans="1:12" x14ac:dyDescent="0.2">
      <c r="A34" s="6" t="s">
        <v>22</v>
      </c>
      <c r="B34" s="6">
        <v>12.4</v>
      </c>
      <c r="C34" s="6">
        <v>0.1</v>
      </c>
      <c r="D34" s="6">
        <v>-2.2999999999999998</v>
      </c>
      <c r="E34" s="6">
        <v>2.0005999999999999E-3</v>
      </c>
      <c r="F34" s="6">
        <v>1.01</v>
      </c>
      <c r="G34" s="6">
        <v>1.9797999999999999E-3</v>
      </c>
      <c r="H34" s="7">
        <v>-12.64</v>
      </c>
      <c r="I34" s="6">
        <v>0.94</v>
      </c>
      <c r="J34" s="6">
        <v>0</v>
      </c>
      <c r="K34" s="6">
        <v>0.1</v>
      </c>
      <c r="L34" s="33"/>
    </row>
    <row r="35" spans="1:12" x14ac:dyDescent="0.2">
      <c r="A35" s="6" t="s">
        <v>23</v>
      </c>
      <c r="B35" s="6">
        <v>14.5</v>
      </c>
      <c r="C35" s="6">
        <v>1.8</v>
      </c>
      <c r="D35" s="6">
        <v>-2.2999999999999998</v>
      </c>
      <c r="E35" s="6">
        <v>2.0005999999999999E-3</v>
      </c>
      <c r="F35" s="6">
        <v>1.01</v>
      </c>
      <c r="G35" s="6">
        <v>1.9802000000000001E-3</v>
      </c>
      <c r="H35" s="7">
        <v>-12.45</v>
      </c>
      <c r="I35" s="6">
        <v>0.9</v>
      </c>
      <c r="J35" s="6">
        <v>0</v>
      </c>
      <c r="K35" s="6">
        <v>1.6</v>
      </c>
      <c r="L35" s="33"/>
    </row>
    <row r="36" spans="1:12" x14ac:dyDescent="0.2">
      <c r="A36" s="10" t="s">
        <v>24</v>
      </c>
      <c r="B36" s="10">
        <v>13</v>
      </c>
      <c r="C36" s="10">
        <v>0.8</v>
      </c>
      <c r="D36" s="10">
        <v>-2.2999999999999998</v>
      </c>
      <c r="E36" s="10">
        <v>2.0005999999999999E-3</v>
      </c>
      <c r="F36" s="10">
        <v>1.01</v>
      </c>
      <c r="G36" s="10">
        <v>1.98E-3</v>
      </c>
      <c r="H36" s="11">
        <v>-12.59</v>
      </c>
      <c r="I36" s="10">
        <v>0.92</v>
      </c>
      <c r="J36" s="10">
        <v>0</v>
      </c>
      <c r="K36" s="10">
        <v>0.8</v>
      </c>
      <c r="L36" s="33"/>
    </row>
    <row r="37" spans="1:12" x14ac:dyDescent="0.2">
      <c r="L37" s="3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B22E-9E9D-7F4B-AEB3-D16C4FCBE45A}">
  <dimension ref="A1:F38"/>
  <sheetViews>
    <sheetView topLeftCell="A3" workbookViewId="0">
      <selection activeCell="A38" sqref="A38"/>
    </sheetView>
  </sheetViews>
  <sheetFormatPr baseColWidth="10" defaultRowHeight="16" x14ac:dyDescent="0.2"/>
  <sheetData>
    <row r="1" spans="1:6" x14ac:dyDescent="0.2">
      <c r="A1" s="1" t="s">
        <v>141</v>
      </c>
      <c r="B1" s="1" t="s">
        <v>142</v>
      </c>
    </row>
    <row r="3" spans="1:6" ht="137" thickBot="1" x14ac:dyDescent="0.25">
      <c r="A3" s="35" t="s">
        <v>5</v>
      </c>
      <c r="B3" s="35" t="s">
        <v>97</v>
      </c>
      <c r="C3" s="35" t="s">
        <v>138</v>
      </c>
      <c r="D3" s="35" t="s">
        <v>143</v>
      </c>
      <c r="E3" s="35" t="s">
        <v>140</v>
      </c>
      <c r="F3" s="35" t="s">
        <v>139</v>
      </c>
    </row>
    <row r="4" spans="1:6" ht="17" thickTop="1" x14ac:dyDescent="0.2">
      <c r="A4" s="28" t="s">
        <v>39</v>
      </c>
      <c r="B4" s="36">
        <v>28.373295495226941</v>
      </c>
      <c r="C4" s="36">
        <v>-0.5</v>
      </c>
      <c r="D4" s="36">
        <f t="shared" ref="D4:D22" si="0">((19.7-B4)/4.34)+-3.5</f>
        <v>-5.4984551832320143</v>
      </c>
      <c r="E4" s="36">
        <f t="shared" ref="E4:E36" si="1">C4-((19.7-B4)/4.34)</f>
        <v>1.4984551832320143</v>
      </c>
      <c r="F4" s="36">
        <f t="shared" ref="F4:F22" si="2">19.7-4.34*(C4--3.5)</f>
        <v>6.68</v>
      </c>
    </row>
    <row r="5" spans="1:6" x14ac:dyDescent="0.2">
      <c r="A5" s="28" t="s">
        <v>40</v>
      </c>
      <c r="B5" s="36">
        <v>19.401928129106501</v>
      </c>
      <c r="C5" s="36">
        <v>-0.28999999999999998</v>
      </c>
      <c r="D5" s="36">
        <f t="shared" si="0"/>
        <v>-3.4313198454162448</v>
      </c>
      <c r="E5" s="36">
        <f t="shared" si="1"/>
        <v>-0.35868015458375524</v>
      </c>
      <c r="F5" s="36">
        <f t="shared" si="2"/>
        <v>5.7685999999999993</v>
      </c>
    </row>
    <row r="6" spans="1:6" x14ac:dyDescent="0.2">
      <c r="A6" s="28" t="s">
        <v>41</v>
      </c>
      <c r="B6" s="36">
        <v>18.320235523034459</v>
      </c>
      <c r="C6" s="36">
        <v>0.08</v>
      </c>
      <c r="D6" s="36">
        <f t="shared" si="0"/>
        <v>-3.1820819177498754</v>
      </c>
      <c r="E6" s="36">
        <f t="shared" si="1"/>
        <v>-0.23791808225012456</v>
      </c>
      <c r="F6" s="36">
        <f t="shared" si="2"/>
        <v>4.1627999999999989</v>
      </c>
    </row>
    <row r="7" spans="1:6" x14ac:dyDescent="0.2">
      <c r="A7" s="28" t="s">
        <v>42</v>
      </c>
      <c r="B7" s="36">
        <v>12.423825313508679</v>
      </c>
      <c r="C7" s="36">
        <v>-0.91</v>
      </c>
      <c r="D7" s="36">
        <f t="shared" si="0"/>
        <v>-1.8234620538038433</v>
      </c>
      <c r="E7" s="36">
        <f t="shared" si="1"/>
        <v>-2.5865379461961568</v>
      </c>
      <c r="F7" s="36">
        <f t="shared" si="2"/>
        <v>8.4594000000000005</v>
      </c>
    </row>
    <row r="8" spans="1:6" x14ac:dyDescent="0.2">
      <c r="A8" s="28" t="s">
        <v>43</v>
      </c>
      <c r="B8" s="36">
        <v>15.62537337916365</v>
      </c>
      <c r="C8" s="36">
        <v>-0.01</v>
      </c>
      <c r="D8" s="36">
        <f t="shared" si="0"/>
        <v>-2.5611459398994585</v>
      </c>
      <c r="E8" s="36">
        <f t="shared" si="1"/>
        <v>-0.94885406010054141</v>
      </c>
      <c r="F8" s="36">
        <f t="shared" si="2"/>
        <v>4.5533999999999981</v>
      </c>
    </row>
    <row r="9" spans="1:6" x14ac:dyDescent="0.2">
      <c r="A9" s="28" t="s">
        <v>50</v>
      </c>
      <c r="B9" s="36">
        <v>25.428181213258469</v>
      </c>
      <c r="C9" s="36">
        <v>-0.67</v>
      </c>
      <c r="D9" s="36">
        <f t="shared" si="0"/>
        <v>-4.8198574224097861</v>
      </c>
      <c r="E9" s="36">
        <f t="shared" si="1"/>
        <v>0.64985742240978561</v>
      </c>
      <c r="F9" s="36">
        <f t="shared" si="2"/>
        <v>7.4177999999999997</v>
      </c>
    </row>
    <row r="10" spans="1:6" x14ac:dyDescent="0.2">
      <c r="A10" s="28" t="s">
        <v>51</v>
      </c>
      <c r="B10" s="36">
        <v>23.049675961142519</v>
      </c>
      <c r="C10" s="36">
        <v>-0.2</v>
      </c>
      <c r="D10" s="36">
        <f t="shared" si="0"/>
        <v>-4.2718147375904421</v>
      </c>
      <c r="E10" s="36">
        <f t="shared" si="1"/>
        <v>0.57181473759044232</v>
      </c>
      <c r="F10" s="36">
        <f t="shared" si="2"/>
        <v>5.3780000000000001</v>
      </c>
    </row>
    <row r="11" spans="1:6" x14ac:dyDescent="0.2">
      <c r="A11" s="28" t="s">
        <v>52</v>
      </c>
      <c r="B11" s="36">
        <v>20.846272676358112</v>
      </c>
      <c r="C11" s="36">
        <v>-0.43</v>
      </c>
      <c r="D11" s="36">
        <f t="shared" si="0"/>
        <v>-3.7641181281931133</v>
      </c>
      <c r="E11" s="36">
        <f t="shared" si="1"/>
        <v>-0.16588187180688652</v>
      </c>
      <c r="F11" s="36">
        <f t="shared" si="2"/>
        <v>6.3762000000000008</v>
      </c>
    </row>
    <row r="12" spans="1:6" x14ac:dyDescent="0.2">
      <c r="A12" s="28" t="s">
        <v>53</v>
      </c>
      <c r="B12" s="36">
        <v>20.294571220633959</v>
      </c>
      <c r="C12" s="36">
        <v>-0.8</v>
      </c>
      <c r="D12" s="36">
        <f t="shared" si="0"/>
        <v>-3.636997977104599</v>
      </c>
      <c r="E12" s="36">
        <f t="shared" si="1"/>
        <v>-0.66300202289540111</v>
      </c>
      <c r="F12" s="36">
        <f t="shared" si="2"/>
        <v>7.9819999999999993</v>
      </c>
    </row>
    <row r="13" spans="1:6" x14ac:dyDescent="0.2">
      <c r="A13" s="28" t="s">
        <v>54</v>
      </c>
      <c r="B13" s="36">
        <v>8.2539812894405031</v>
      </c>
      <c r="C13" s="36">
        <v>-0.7</v>
      </c>
      <c r="D13" s="36">
        <f t="shared" si="0"/>
        <v>-0.86266849987108385</v>
      </c>
      <c r="E13" s="36">
        <f t="shared" si="1"/>
        <v>-3.3373315001289159</v>
      </c>
      <c r="F13" s="36">
        <f t="shared" si="2"/>
        <v>7.548</v>
      </c>
    </row>
    <row r="14" spans="1:6" x14ac:dyDescent="0.2">
      <c r="A14" s="28" t="s">
        <v>55</v>
      </c>
      <c r="B14" s="36">
        <v>11.00348430517559</v>
      </c>
      <c r="C14" s="36">
        <v>-0.54</v>
      </c>
      <c r="D14" s="36">
        <f t="shared" si="0"/>
        <v>-1.4961945403630392</v>
      </c>
      <c r="E14" s="36">
        <f t="shared" si="1"/>
        <v>-2.5438054596369608</v>
      </c>
      <c r="F14" s="36">
        <f t="shared" si="2"/>
        <v>6.8536000000000001</v>
      </c>
    </row>
    <row r="15" spans="1:6" x14ac:dyDescent="0.2">
      <c r="A15" s="28" t="s">
        <v>56</v>
      </c>
      <c r="B15" s="36">
        <v>24.936802259599609</v>
      </c>
      <c r="C15" s="36">
        <v>-0.54</v>
      </c>
      <c r="D15" s="36">
        <f t="shared" si="0"/>
        <v>-4.7066364653455324</v>
      </c>
      <c r="E15" s="36">
        <f t="shared" si="1"/>
        <v>0.66663646534553234</v>
      </c>
      <c r="F15" s="36">
        <f t="shared" si="2"/>
        <v>6.8536000000000001</v>
      </c>
    </row>
    <row r="16" spans="1:6" x14ac:dyDescent="0.2">
      <c r="A16" s="28" t="s">
        <v>57</v>
      </c>
      <c r="B16" s="36">
        <v>25.18784576378992</v>
      </c>
      <c r="C16" s="36">
        <v>-0.13</v>
      </c>
      <c r="D16" s="36">
        <f t="shared" si="0"/>
        <v>-4.7644805907350047</v>
      </c>
      <c r="E16" s="36">
        <f t="shared" si="1"/>
        <v>1.1344805907350048</v>
      </c>
      <c r="F16" s="36">
        <f t="shared" si="2"/>
        <v>5.0741999999999994</v>
      </c>
    </row>
    <row r="17" spans="1:6" x14ac:dyDescent="0.2">
      <c r="A17" s="28" t="s">
        <v>44</v>
      </c>
      <c r="B17" s="36">
        <v>24.88626361116841</v>
      </c>
      <c r="C17" s="36">
        <v>-0.34</v>
      </c>
      <c r="D17" s="36">
        <f t="shared" si="0"/>
        <v>-4.6949916154765923</v>
      </c>
      <c r="E17" s="36">
        <f t="shared" si="1"/>
        <v>0.85499161547659219</v>
      </c>
      <c r="F17" s="36">
        <f t="shared" si="2"/>
        <v>5.9855999999999998</v>
      </c>
    </row>
    <row r="18" spans="1:6" x14ac:dyDescent="0.2">
      <c r="A18" s="28" t="s">
        <v>45</v>
      </c>
      <c r="B18" s="36">
        <v>21.480197443223709</v>
      </c>
      <c r="C18" s="36">
        <v>-0.54</v>
      </c>
      <c r="D18" s="36">
        <f t="shared" si="0"/>
        <v>-3.910183742678274</v>
      </c>
      <c r="E18" s="36">
        <f t="shared" si="1"/>
        <v>-0.12981625732172591</v>
      </c>
      <c r="F18" s="36">
        <f t="shared" si="2"/>
        <v>6.8536000000000001</v>
      </c>
    </row>
    <row r="19" spans="1:6" x14ac:dyDescent="0.2">
      <c r="A19" s="28" t="s">
        <v>46</v>
      </c>
      <c r="B19" s="36">
        <v>24.27980606672164</v>
      </c>
      <c r="C19" s="36">
        <v>-0.56000000000000005</v>
      </c>
      <c r="D19" s="36">
        <f t="shared" si="0"/>
        <v>-4.5552548540833273</v>
      </c>
      <c r="E19" s="36">
        <f t="shared" si="1"/>
        <v>0.49525485408332748</v>
      </c>
      <c r="F19" s="36">
        <f t="shared" si="2"/>
        <v>6.9404000000000003</v>
      </c>
    </row>
    <row r="20" spans="1:6" x14ac:dyDescent="0.2">
      <c r="A20" s="28" t="s">
        <v>47</v>
      </c>
      <c r="B20" s="36">
        <v>22.77551888093533</v>
      </c>
      <c r="C20" s="36">
        <v>-0.59</v>
      </c>
      <c r="D20" s="36">
        <f t="shared" si="0"/>
        <v>-4.2086449034413205</v>
      </c>
      <c r="E20" s="36">
        <f t="shared" si="1"/>
        <v>0.1186449034413205</v>
      </c>
      <c r="F20" s="36">
        <f t="shared" si="2"/>
        <v>7.0705999999999989</v>
      </c>
    </row>
    <row r="21" spans="1:6" x14ac:dyDescent="0.2">
      <c r="A21" s="28" t="s">
        <v>48</v>
      </c>
      <c r="B21" s="36">
        <v>29.306319994529289</v>
      </c>
      <c r="C21" s="36">
        <v>-0.87</v>
      </c>
      <c r="D21" s="36">
        <f t="shared" si="0"/>
        <v>-5.7134377867579005</v>
      </c>
      <c r="E21" s="36">
        <f t="shared" si="1"/>
        <v>1.3434377867579008</v>
      </c>
      <c r="F21" s="36">
        <f t="shared" si="2"/>
        <v>8.2858000000000001</v>
      </c>
    </row>
    <row r="22" spans="1:6" x14ac:dyDescent="0.2">
      <c r="A22" s="28" t="s">
        <v>49</v>
      </c>
      <c r="B22" s="36">
        <v>24.385538293245759</v>
      </c>
      <c r="C22" s="36">
        <v>-0.13</v>
      </c>
      <c r="D22" s="36">
        <f t="shared" si="0"/>
        <v>-4.5796171182593914</v>
      </c>
      <c r="E22" s="36">
        <f t="shared" si="1"/>
        <v>0.94961711825939166</v>
      </c>
      <c r="F22" s="36">
        <f t="shared" si="2"/>
        <v>5.0741999999999994</v>
      </c>
    </row>
    <row r="23" spans="1:6" x14ac:dyDescent="0.2">
      <c r="A23" s="28" t="s">
        <v>11</v>
      </c>
      <c r="B23" s="28">
        <v>14.2</v>
      </c>
      <c r="C23" s="36">
        <v>-0.5</v>
      </c>
      <c r="D23" s="36">
        <f t="shared" ref="D23:D36" si="3">((19.7-B23)/4.34)+-2.3</f>
        <v>-1.0327188940092165</v>
      </c>
      <c r="E23" s="36">
        <f t="shared" si="1"/>
        <v>-1.7672811059907834</v>
      </c>
      <c r="F23" s="36">
        <f t="shared" ref="F23:F36" si="4">19.7-4.34*(C23--2.3)</f>
        <v>11.888</v>
      </c>
    </row>
    <row r="24" spans="1:6" x14ac:dyDescent="0.2">
      <c r="A24" s="28" t="s">
        <v>12</v>
      </c>
      <c r="B24" s="28">
        <v>6</v>
      </c>
      <c r="C24" s="36">
        <v>-0.28999999999999998</v>
      </c>
      <c r="D24" s="36">
        <f t="shared" si="3"/>
        <v>0.85668202764976975</v>
      </c>
      <c r="E24" s="36">
        <f t="shared" si="1"/>
        <v>-3.4466820276497696</v>
      </c>
      <c r="F24" s="36">
        <f t="shared" si="4"/>
        <v>10.976600000000001</v>
      </c>
    </row>
    <row r="25" spans="1:6" x14ac:dyDescent="0.2">
      <c r="A25" s="28" t="s">
        <v>13</v>
      </c>
      <c r="B25" s="28">
        <v>9.1999999999999993</v>
      </c>
      <c r="C25" s="36">
        <v>0.08</v>
      </c>
      <c r="D25" s="36">
        <f t="shared" si="3"/>
        <v>0.11935483870967767</v>
      </c>
      <c r="E25" s="36">
        <f t="shared" si="1"/>
        <v>-2.3393548387096774</v>
      </c>
      <c r="F25" s="36">
        <f t="shared" si="4"/>
        <v>9.3708000000000009</v>
      </c>
    </row>
    <row r="26" spans="1:6" x14ac:dyDescent="0.2">
      <c r="A26" s="28" t="s">
        <v>14</v>
      </c>
      <c r="B26" s="28">
        <v>12.4</v>
      </c>
      <c r="C26" s="36">
        <v>-0.91</v>
      </c>
      <c r="D26" s="36">
        <f t="shared" si="3"/>
        <v>-0.61797235023041486</v>
      </c>
      <c r="E26" s="36">
        <f t="shared" si="1"/>
        <v>-2.5920276497695851</v>
      </c>
      <c r="F26" s="36">
        <f t="shared" si="4"/>
        <v>13.667400000000001</v>
      </c>
    </row>
    <row r="27" spans="1:6" x14ac:dyDescent="0.2">
      <c r="A27" s="28" t="s">
        <v>15</v>
      </c>
      <c r="B27" s="28">
        <v>13.6</v>
      </c>
      <c r="C27" s="36">
        <v>-0.01</v>
      </c>
      <c r="D27" s="36">
        <f t="shared" si="3"/>
        <v>-0.89447004608294911</v>
      </c>
      <c r="E27" s="36">
        <f t="shared" si="1"/>
        <v>-1.4155299539170507</v>
      </c>
      <c r="F27" s="36">
        <f t="shared" si="4"/>
        <v>9.7614000000000001</v>
      </c>
    </row>
    <row r="28" spans="1:6" x14ac:dyDescent="0.2">
      <c r="A28" s="28" t="s">
        <v>16</v>
      </c>
      <c r="B28" s="28">
        <v>19.8</v>
      </c>
      <c r="C28" s="36">
        <v>-0.67</v>
      </c>
      <c r="D28" s="36">
        <f t="shared" si="3"/>
        <v>-2.3230414746543779</v>
      </c>
      <c r="E28" s="36">
        <f t="shared" si="1"/>
        <v>-0.64695852534562182</v>
      </c>
      <c r="F28" s="36">
        <f t="shared" si="4"/>
        <v>12.6258</v>
      </c>
    </row>
    <row r="29" spans="1:6" x14ac:dyDescent="0.2">
      <c r="A29" s="28" t="s">
        <v>17</v>
      </c>
      <c r="B29" s="28">
        <v>11.7</v>
      </c>
      <c r="C29" s="36">
        <v>-0.2</v>
      </c>
      <c r="D29" s="36">
        <f t="shared" si="3"/>
        <v>-0.4566820276497694</v>
      </c>
      <c r="E29" s="36">
        <f t="shared" si="1"/>
        <v>-2.0433179723502306</v>
      </c>
      <c r="F29" s="36">
        <f t="shared" si="4"/>
        <v>10.586</v>
      </c>
    </row>
    <row r="30" spans="1:6" x14ac:dyDescent="0.2">
      <c r="A30" s="28" t="s">
        <v>18</v>
      </c>
      <c r="B30" s="28">
        <v>17</v>
      </c>
      <c r="C30" s="36">
        <v>-0.43</v>
      </c>
      <c r="D30" s="36">
        <f t="shared" si="3"/>
        <v>-1.6778801843317972</v>
      </c>
      <c r="E30" s="36">
        <f t="shared" si="1"/>
        <v>-1.0521198156682026</v>
      </c>
      <c r="F30" s="36">
        <f t="shared" si="4"/>
        <v>11.584200000000001</v>
      </c>
    </row>
    <row r="31" spans="1:6" x14ac:dyDescent="0.2">
      <c r="A31" s="28" t="s">
        <v>19</v>
      </c>
      <c r="B31" s="28">
        <v>14.8</v>
      </c>
      <c r="C31" s="36">
        <v>-0.8</v>
      </c>
      <c r="D31" s="36">
        <f t="shared" si="3"/>
        <v>-1.170967741935484</v>
      </c>
      <c r="E31" s="36">
        <f t="shared" si="1"/>
        <v>-1.9290322580645158</v>
      </c>
      <c r="F31" s="36">
        <f t="shared" si="4"/>
        <v>13.190000000000001</v>
      </c>
    </row>
    <row r="32" spans="1:6" x14ac:dyDescent="0.2">
      <c r="A32" s="28" t="s">
        <v>20</v>
      </c>
      <c r="B32" s="28">
        <v>15.6</v>
      </c>
      <c r="C32" s="36">
        <v>-0.7</v>
      </c>
      <c r="D32" s="36">
        <f t="shared" si="3"/>
        <v>-1.3552995391705069</v>
      </c>
      <c r="E32" s="36">
        <f t="shared" si="1"/>
        <v>-1.6447004608294931</v>
      </c>
      <c r="F32" s="36">
        <f t="shared" si="4"/>
        <v>12.756</v>
      </c>
    </row>
    <row r="33" spans="1:6" x14ac:dyDescent="0.2">
      <c r="A33" s="28" t="s">
        <v>21</v>
      </c>
      <c r="B33" s="28">
        <v>10.9</v>
      </c>
      <c r="C33" s="36">
        <v>-0.54</v>
      </c>
      <c r="D33" s="36">
        <f t="shared" si="3"/>
        <v>-0.27235023041474671</v>
      </c>
      <c r="E33" s="36">
        <f t="shared" si="1"/>
        <v>-2.5676497695852531</v>
      </c>
      <c r="F33" s="36">
        <f t="shared" si="4"/>
        <v>12.0616</v>
      </c>
    </row>
    <row r="34" spans="1:6" x14ac:dyDescent="0.2">
      <c r="A34" s="28" t="s">
        <v>22</v>
      </c>
      <c r="B34" s="28">
        <v>12.4</v>
      </c>
      <c r="C34" s="36">
        <v>-0.54</v>
      </c>
      <c r="D34" s="36">
        <f t="shared" si="3"/>
        <v>-0.61797235023041486</v>
      </c>
      <c r="E34" s="36">
        <f t="shared" si="1"/>
        <v>-2.222027649769585</v>
      </c>
      <c r="F34" s="36">
        <f t="shared" si="4"/>
        <v>12.0616</v>
      </c>
    </row>
    <row r="35" spans="1:6" x14ac:dyDescent="0.2">
      <c r="A35" s="28" t="s">
        <v>23</v>
      </c>
      <c r="B35" s="28">
        <v>14.5</v>
      </c>
      <c r="C35" s="36">
        <v>-0.13</v>
      </c>
      <c r="D35" s="36">
        <f t="shared" si="3"/>
        <v>-1.1018433179723501</v>
      </c>
      <c r="E35" s="36">
        <f t="shared" si="1"/>
        <v>-1.3281566820276498</v>
      </c>
      <c r="F35" s="36">
        <f t="shared" si="4"/>
        <v>10.2822</v>
      </c>
    </row>
    <row r="36" spans="1:6" x14ac:dyDescent="0.2">
      <c r="A36" s="29" t="s">
        <v>24</v>
      </c>
      <c r="B36" s="29">
        <v>13</v>
      </c>
      <c r="C36" s="37">
        <v>-0.34</v>
      </c>
      <c r="D36" s="37">
        <f t="shared" si="3"/>
        <v>-0.75622119815668198</v>
      </c>
      <c r="E36" s="37">
        <f t="shared" si="1"/>
        <v>-1.8837788018433179</v>
      </c>
      <c r="F36" s="37">
        <f t="shared" si="4"/>
        <v>11.1936</v>
      </c>
    </row>
    <row r="38" spans="1:6" x14ac:dyDescent="0.2">
      <c r="A38" s="2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1</vt:lpstr>
      <vt:lpstr>Table 2</vt:lpstr>
      <vt:lpstr>Table 3</vt:lpstr>
      <vt:lpstr>Table A1</vt:lpstr>
      <vt:lpstr>Table A2</vt:lpstr>
      <vt:lpstr>Table A3</vt:lpstr>
      <vt:lpstr>Table A4</vt:lpstr>
      <vt:lpstr>Table A5</vt:lpstr>
      <vt:lpstr>Table A6</vt:lpstr>
      <vt:lpstr>Table A7</vt:lpstr>
      <vt:lpstr>Table 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Hayley Bricker</dc:creator>
  <cp:lastModifiedBy>Hayley Bricker</cp:lastModifiedBy>
  <dcterms:created xsi:type="dcterms:W3CDTF">2023-09-13T19:42:53Z</dcterms:created>
  <dcterms:modified xsi:type="dcterms:W3CDTF">2025-12-17T21:22:16Z</dcterms:modified>
</cp:coreProperties>
</file>