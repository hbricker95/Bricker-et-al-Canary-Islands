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leybricker/Documents/LGM_Canaries/CP/"/>
    </mc:Choice>
  </mc:AlternateContent>
  <xr:revisionPtr revIDLastSave="0" documentId="8_{4D2442BB-A2D7-DB47-83A4-0C5C5FA9C204}" xr6:coauthVersionLast="47" xr6:coauthVersionMax="47" xr10:uidLastSave="{00000000-0000-0000-0000-000000000000}"/>
  <bookViews>
    <workbookView xWindow="2020" yWindow="1000" windowWidth="26400" windowHeight="16440" activeTab="2" xr2:uid="{DE75DED8-4E73-4A44-82EF-3E79D429B88E}"/>
  </bookViews>
  <sheets>
    <sheet name="LGM" sheetId="1" r:id="rId1"/>
    <sheet name="MH" sheetId="2" r:id="rId2"/>
    <sheet name="Moder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81" i="3" l="1"/>
  <c r="BL81" i="3"/>
  <c r="AQ81" i="3"/>
  <c r="BM72" i="3"/>
  <c r="BL72" i="3"/>
  <c r="AQ72" i="3"/>
  <c r="BM65" i="3"/>
  <c r="BL65" i="3"/>
  <c r="AQ65" i="3"/>
  <c r="BM60" i="3"/>
  <c r="BL60" i="3"/>
  <c r="AQ60" i="3"/>
  <c r="BM55" i="3"/>
  <c r="BL55" i="3"/>
  <c r="AQ55" i="3"/>
  <c r="BM50" i="3"/>
  <c r="BL50" i="3"/>
  <c r="AQ50" i="3"/>
  <c r="BM45" i="3"/>
  <c r="BL45" i="3"/>
  <c r="AQ45" i="3"/>
  <c r="BM40" i="3"/>
  <c r="BL40" i="3"/>
  <c r="AQ40" i="3"/>
  <c r="BM35" i="3"/>
  <c r="BL35" i="3"/>
  <c r="AQ35" i="3"/>
  <c r="BM30" i="3"/>
  <c r="BL30" i="3"/>
  <c r="AQ30" i="3"/>
  <c r="BM24" i="3"/>
  <c r="BL24" i="3"/>
  <c r="AQ24" i="3"/>
  <c r="BM19" i="3"/>
  <c r="BL19" i="3"/>
  <c r="AQ19" i="3"/>
  <c r="BM14" i="3"/>
  <c r="BL14" i="3"/>
  <c r="AW14" i="3"/>
  <c r="AQ14" i="3"/>
  <c r="BM8" i="3"/>
  <c r="BL8" i="3"/>
  <c r="AQ8" i="3"/>
  <c r="BM3" i="3"/>
  <c r="BL3" i="3"/>
  <c r="AQ3" i="3"/>
  <c r="BM94" i="2"/>
  <c r="BL94" i="2"/>
  <c r="BM87" i="2"/>
  <c r="BL87" i="2"/>
  <c r="BM82" i="2"/>
  <c r="BL82" i="2"/>
  <c r="BM77" i="2"/>
  <c r="BL77" i="2"/>
  <c r="BM72" i="2"/>
  <c r="BL72" i="2"/>
  <c r="BM67" i="2"/>
  <c r="BL67" i="2"/>
  <c r="BM62" i="2"/>
  <c r="BL62" i="2"/>
  <c r="BM57" i="2"/>
  <c r="BL57" i="2"/>
  <c r="BM52" i="2"/>
  <c r="BL52" i="2"/>
  <c r="BM47" i="2"/>
  <c r="BL47" i="2"/>
  <c r="BM42" i="2"/>
  <c r="BL42" i="2"/>
  <c r="BM37" i="2"/>
  <c r="BL37" i="2"/>
  <c r="BM32" i="2"/>
  <c r="BL32" i="2"/>
  <c r="BM27" i="2"/>
  <c r="BL27" i="2"/>
  <c r="BM22" i="2"/>
  <c r="BL22" i="2"/>
  <c r="BM17" i="2"/>
  <c r="BL17" i="2"/>
  <c r="BM12" i="2"/>
  <c r="BL12" i="2"/>
  <c r="BM7" i="2"/>
  <c r="BL7" i="2"/>
  <c r="BM2" i="2"/>
  <c r="BL2" i="2"/>
  <c r="BF83" i="1"/>
  <c r="BJ83" i="1" s="1"/>
  <c r="BL83" i="1" s="1"/>
  <c r="BF82" i="1"/>
  <c r="BJ82" i="1" s="1"/>
  <c r="BL82" i="1" s="1"/>
  <c r="BF81" i="1"/>
  <c r="BJ81" i="1" s="1"/>
  <c r="BC79" i="1"/>
  <c r="BB79" i="1"/>
  <c r="AZ79" i="1"/>
  <c r="AY79" i="1"/>
  <c r="AX79" i="1"/>
  <c r="AV79" i="1"/>
  <c r="AU79" i="1"/>
  <c r="AS79" i="1"/>
  <c r="AR79" i="1"/>
  <c r="AP79" i="1"/>
  <c r="AO79" i="1"/>
  <c r="Y79" i="1"/>
  <c r="W79" i="1"/>
  <c r="U79" i="1"/>
  <c r="S79" i="1"/>
  <c r="Q79" i="1"/>
  <c r="O79" i="1"/>
  <c r="M79" i="1"/>
  <c r="K79" i="1"/>
  <c r="I79" i="1"/>
  <c r="B79" i="1"/>
  <c r="BF77" i="1"/>
  <c r="BF76" i="1"/>
  <c r="BJ76" i="1" s="1"/>
  <c r="BL76" i="1" s="1"/>
  <c r="BF75" i="1"/>
  <c r="BC73" i="1"/>
  <c r="BB73" i="1"/>
  <c r="AZ73" i="1"/>
  <c r="AY73" i="1"/>
  <c r="AX73" i="1"/>
  <c r="AV73" i="1"/>
  <c r="AU73" i="1"/>
  <c r="AS73" i="1"/>
  <c r="AR73" i="1"/>
  <c r="AP73" i="1"/>
  <c r="AO73" i="1"/>
  <c r="Y73" i="1"/>
  <c r="W73" i="1"/>
  <c r="U73" i="1"/>
  <c r="S73" i="1"/>
  <c r="Q73" i="1"/>
  <c r="O73" i="1"/>
  <c r="M73" i="1"/>
  <c r="K73" i="1"/>
  <c r="I73" i="1"/>
  <c r="B73" i="1"/>
  <c r="BF71" i="1"/>
  <c r="BJ71" i="1" s="1"/>
  <c r="BL71" i="1" s="1"/>
  <c r="BF70" i="1"/>
  <c r="BJ70" i="1" s="1"/>
  <c r="BL70" i="1" s="1"/>
  <c r="BF69" i="1"/>
  <c r="BC67" i="1"/>
  <c r="BB67" i="1"/>
  <c r="AZ67" i="1"/>
  <c r="AY67" i="1"/>
  <c r="AX67" i="1"/>
  <c r="AV67" i="1"/>
  <c r="AU67" i="1"/>
  <c r="AS67" i="1"/>
  <c r="AR67" i="1"/>
  <c r="AP67" i="1"/>
  <c r="AO67" i="1"/>
  <c r="Y67" i="1"/>
  <c r="W67" i="1"/>
  <c r="U67" i="1"/>
  <c r="S67" i="1"/>
  <c r="Q67" i="1"/>
  <c r="O67" i="1"/>
  <c r="M67" i="1"/>
  <c r="K67" i="1"/>
  <c r="I67" i="1"/>
  <c r="B67" i="1"/>
  <c r="BF65" i="1"/>
  <c r="BJ65" i="1" s="1"/>
  <c r="BL65" i="1" s="1"/>
  <c r="BF64" i="1"/>
  <c r="BF63" i="1"/>
  <c r="BC61" i="1"/>
  <c r="BB61" i="1"/>
  <c r="AZ61" i="1"/>
  <c r="AY61" i="1"/>
  <c r="AX61" i="1"/>
  <c r="AV61" i="1"/>
  <c r="AU61" i="1"/>
  <c r="AS61" i="1"/>
  <c r="AR61" i="1"/>
  <c r="AP61" i="1"/>
  <c r="AO61" i="1"/>
  <c r="Y61" i="1"/>
  <c r="W61" i="1"/>
  <c r="U61" i="1"/>
  <c r="S61" i="1"/>
  <c r="Q61" i="1"/>
  <c r="O61" i="1"/>
  <c r="M61" i="1"/>
  <c r="K61" i="1"/>
  <c r="I61" i="1"/>
  <c r="B61" i="1"/>
  <c r="BF59" i="1"/>
  <c r="BJ59" i="1" s="1"/>
  <c r="BL59" i="1" s="1"/>
  <c r="BF58" i="1"/>
  <c r="BJ58" i="1" s="1"/>
  <c r="BL58" i="1" s="1"/>
  <c r="BF57" i="1"/>
  <c r="BC55" i="1"/>
  <c r="BB55" i="1"/>
  <c r="AZ55" i="1"/>
  <c r="AY55" i="1"/>
  <c r="AX55" i="1"/>
  <c r="AV55" i="1"/>
  <c r="AU55" i="1"/>
  <c r="AS55" i="1"/>
  <c r="AR55" i="1"/>
  <c r="AP55" i="1"/>
  <c r="AO55" i="1"/>
  <c r="Y55" i="1"/>
  <c r="W55" i="1"/>
  <c r="U55" i="1"/>
  <c r="S55" i="1"/>
  <c r="Q55" i="1"/>
  <c r="O55" i="1"/>
  <c r="M55" i="1"/>
  <c r="K55" i="1"/>
  <c r="I55" i="1"/>
  <c r="B55" i="1"/>
  <c r="BF53" i="1"/>
  <c r="BJ53" i="1" s="1"/>
  <c r="BL53" i="1" s="1"/>
  <c r="BF52" i="1"/>
  <c r="BJ52" i="1" s="1"/>
  <c r="BL52" i="1" s="1"/>
  <c r="BF51" i="1"/>
  <c r="BC49" i="1"/>
  <c r="BB49" i="1"/>
  <c r="AZ49" i="1"/>
  <c r="AY49" i="1"/>
  <c r="AX49" i="1"/>
  <c r="AV49" i="1"/>
  <c r="AU49" i="1"/>
  <c r="AS49" i="1"/>
  <c r="AR49" i="1"/>
  <c r="AP49" i="1"/>
  <c r="AO49" i="1"/>
  <c r="Y49" i="1"/>
  <c r="W49" i="1"/>
  <c r="U49" i="1"/>
  <c r="S49" i="1"/>
  <c r="Q49" i="1"/>
  <c r="O49" i="1"/>
  <c r="M49" i="1"/>
  <c r="K49" i="1"/>
  <c r="I49" i="1"/>
  <c r="B49" i="1"/>
  <c r="BF47" i="1"/>
  <c r="BJ47" i="1" s="1"/>
  <c r="BL47" i="1" s="1"/>
  <c r="BF46" i="1"/>
  <c r="BJ46" i="1" s="1"/>
  <c r="BL46" i="1" s="1"/>
  <c r="BF45" i="1"/>
  <c r="BC43" i="1"/>
  <c r="BB43" i="1"/>
  <c r="AZ43" i="1"/>
  <c r="AY43" i="1"/>
  <c r="AX43" i="1"/>
  <c r="AV43" i="1"/>
  <c r="AU43" i="1"/>
  <c r="AS43" i="1"/>
  <c r="AR43" i="1"/>
  <c r="AP43" i="1"/>
  <c r="AO43" i="1"/>
  <c r="Y43" i="1"/>
  <c r="W43" i="1"/>
  <c r="U43" i="1"/>
  <c r="S43" i="1"/>
  <c r="Q43" i="1"/>
  <c r="O43" i="1"/>
  <c r="M43" i="1"/>
  <c r="K43" i="1"/>
  <c r="I43" i="1"/>
  <c r="B43" i="1"/>
  <c r="BF41" i="1"/>
  <c r="BJ41" i="1" s="1"/>
  <c r="BL41" i="1" s="1"/>
  <c r="BF40" i="1"/>
  <c r="BJ40" i="1" s="1"/>
  <c r="BL40" i="1" s="1"/>
  <c r="BF39" i="1"/>
  <c r="BC37" i="1"/>
  <c r="BB37" i="1"/>
  <c r="AZ37" i="1"/>
  <c r="AY37" i="1"/>
  <c r="AX37" i="1"/>
  <c r="AV37" i="1"/>
  <c r="AU37" i="1"/>
  <c r="AS37" i="1"/>
  <c r="AR37" i="1"/>
  <c r="AP37" i="1"/>
  <c r="AO37" i="1"/>
  <c r="Y37" i="1"/>
  <c r="W37" i="1"/>
  <c r="U37" i="1"/>
  <c r="S37" i="1"/>
  <c r="Q37" i="1"/>
  <c r="O37" i="1"/>
  <c r="M37" i="1"/>
  <c r="K37" i="1"/>
  <c r="I37" i="1"/>
  <c r="B37" i="1"/>
  <c r="BF35" i="1"/>
  <c r="BJ35" i="1" s="1"/>
  <c r="BL35" i="1" s="1"/>
  <c r="BF34" i="1"/>
  <c r="BJ34" i="1" s="1"/>
  <c r="BL34" i="1" s="1"/>
  <c r="BF33" i="1"/>
  <c r="BC31" i="1"/>
  <c r="BB31" i="1"/>
  <c r="AZ31" i="1"/>
  <c r="AY31" i="1"/>
  <c r="AX31" i="1"/>
  <c r="AV31" i="1"/>
  <c r="AU31" i="1"/>
  <c r="AS31" i="1"/>
  <c r="AR31" i="1"/>
  <c r="AP31" i="1"/>
  <c r="AO31" i="1"/>
  <c r="Y31" i="1"/>
  <c r="W31" i="1"/>
  <c r="U31" i="1"/>
  <c r="S31" i="1"/>
  <c r="Q31" i="1"/>
  <c r="O31" i="1"/>
  <c r="M31" i="1"/>
  <c r="K31" i="1"/>
  <c r="I31" i="1"/>
  <c r="B31" i="1"/>
  <c r="BF29" i="1"/>
  <c r="BJ29" i="1" s="1"/>
  <c r="BL29" i="1" s="1"/>
  <c r="BF28" i="1"/>
  <c r="BC26" i="1"/>
  <c r="BB26" i="1"/>
  <c r="AZ26" i="1"/>
  <c r="AY26" i="1"/>
  <c r="AX26" i="1"/>
  <c r="AV26" i="1"/>
  <c r="AU26" i="1"/>
  <c r="AS26" i="1"/>
  <c r="AR26" i="1"/>
  <c r="AP26" i="1"/>
  <c r="AO26" i="1"/>
  <c r="Y26" i="1"/>
  <c r="W26" i="1"/>
  <c r="U26" i="1"/>
  <c r="S26" i="1"/>
  <c r="Q26" i="1"/>
  <c r="O26" i="1"/>
  <c r="M26" i="1"/>
  <c r="K26" i="1"/>
  <c r="I26" i="1"/>
  <c r="B26" i="1"/>
  <c r="BF24" i="1"/>
  <c r="BJ24" i="1" s="1"/>
  <c r="BL24" i="1" s="1"/>
  <c r="BF23" i="1"/>
  <c r="BC21" i="1"/>
  <c r="BB21" i="1"/>
  <c r="AZ21" i="1"/>
  <c r="AY21" i="1"/>
  <c r="AX21" i="1"/>
  <c r="AV21" i="1"/>
  <c r="AU21" i="1"/>
  <c r="AS21" i="1"/>
  <c r="AR21" i="1"/>
  <c r="AP21" i="1"/>
  <c r="AO21" i="1"/>
  <c r="Y21" i="1"/>
  <c r="W21" i="1"/>
  <c r="U21" i="1"/>
  <c r="S21" i="1"/>
  <c r="Q21" i="1"/>
  <c r="O21" i="1"/>
  <c r="M21" i="1"/>
  <c r="K21" i="1"/>
  <c r="I21" i="1"/>
  <c r="B21" i="1"/>
  <c r="BF19" i="1"/>
  <c r="BF18" i="1"/>
  <c r="BC16" i="1"/>
  <c r="BB16" i="1"/>
  <c r="AZ16" i="1"/>
  <c r="AY16" i="1"/>
  <c r="AX16" i="1"/>
  <c r="AV16" i="1"/>
  <c r="AU16" i="1"/>
  <c r="AS16" i="1"/>
  <c r="AR16" i="1"/>
  <c r="AP16" i="1"/>
  <c r="AO16" i="1"/>
  <c r="Y16" i="1"/>
  <c r="W16" i="1"/>
  <c r="U16" i="1"/>
  <c r="S16" i="1"/>
  <c r="Q16" i="1"/>
  <c r="O16" i="1"/>
  <c r="M16" i="1"/>
  <c r="K16" i="1"/>
  <c r="I16" i="1"/>
  <c r="B16" i="1"/>
  <c r="BF14" i="1"/>
  <c r="BJ14" i="1" s="1"/>
  <c r="BL14" i="1" s="1"/>
  <c r="BF13" i="1"/>
  <c r="BJ13" i="1" s="1"/>
  <c r="BL13" i="1" s="1"/>
  <c r="BF12" i="1"/>
  <c r="BC10" i="1"/>
  <c r="BB10" i="1"/>
  <c r="AZ10" i="1"/>
  <c r="AY10" i="1"/>
  <c r="AX10" i="1"/>
  <c r="AV10" i="1"/>
  <c r="AU10" i="1"/>
  <c r="AS10" i="1"/>
  <c r="AR10" i="1"/>
  <c r="AP10" i="1"/>
  <c r="AO10" i="1"/>
  <c r="Y10" i="1"/>
  <c r="W10" i="1"/>
  <c r="U10" i="1"/>
  <c r="S10" i="1"/>
  <c r="Q10" i="1"/>
  <c r="O10" i="1"/>
  <c r="M10" i="1"/>
  <c r="K10" i="1"/>
  <c r="I10" i="1"/>
  <c r="B10" i="1"/>
  <c r="BF8" i="1"/>
  <c r="BJ8" i="1" s="1"/>
  <c r="BL8" i="1" s="1"/>
  <c r="BF7" i="1"/>
  <c r="BJ7" i="1" s="1"/>
  <c r="BL7" i="1" s="1"/>
  <c r="BF6" i="1"/>
  <c r="BC4" i="1"/>
  <c r="BB4" i="1"/>
  <c r="AZ4" i="1"/>
  <c r="AY4" i="1"/>
  <c r="AX4" i="1"/>
  <c r="AV4" i="1"/>
  <c r="AU4" i="1"/>
  <c r="AS4" i="1"/>
  <c r="AR4" i="1"/>
  <c r="AP4" i="1"/>
  <c r="AO4" i="1"/>
  <c r="Y4" i="1"/>
  <c r="W4" i="1"/>
  <c r="U4" i="1"/>
  <c r="S4" i="1"/>
  <c r="Q4" i="1"/>
  <c r="O4" i="1"/>
  <c r="M4" i="1"/>
  <c r="K4" i="1"/>
  <c r="I4" i="1"/>
  <c r="B4" i="1"/>
  <c r="BI37" i="1" l="1"/>
  <c r="BI61" i="1"/>
  <c r="BH73" i="1"/>
  <c r="BH79" i="1"/>
  <c r="BH21" i="1"/>
  <c r="BG4" i="1"/>
  <c r="BI16" i="1"/>
  <c r="BI26" i="1"/>
  <c r="BH61" i="1"/>
  <c r="BH26" i="1"/>
  <c r="BH16" i="1"/>
  <c r="BH43" i="1"/>
  <c r="BG26" i="1"/>
  <c r="BI73" i="1"/>
  <c r="BH37" i="1"/>
  <c r="BG49" i="1"/>
  <c r="BJ64" i="1"/>
  <c r="BL64" i="1" s="1"/>
  <c r="BH67" i="1"/>
  <c r="BI79" i="1"/>
  <c r="BH10" i="1"/>
  <c r="BJ19" i="1"/>
  <c r="BL19" i="1" s="1"/>
  <c r="BG37" i="1"/>
  <c r="BH55" i="1"/>
  <c r="BJ69" i="1"/>
  <c r="BK67" i="1" s="1"/>
  <c r="BJ77" i="1"/>
  <c r="BL77" i="1" s="1"/>
  <c r="BG79" i="1"/>
  <c r="BK79" i="1"/>
  <c r="BH31" i="1"/>
  <c r="BH49" i="1"/>
  <c r="BG61" i="1"/>
  <c r="BG73" i="1"/>
  <c r="BH4" i="1"/>
  <c r="BG16" i="1"/>
  <c r="BI4" i="1"/>
  <c r="BI49" i="1"/>
  <c r="BJ63" i="1"/>
  <c r="BL63" i="1" s="1"/>
  <c r="BN61" i="1" s="1"/>
  <c r="BJ12" i="1"/>
  <c r="BJ23" i="1"/>
  <c r="BJ33" i="1"/>
  <c r="BJ45" i="1"/>
  <c r="BJ57" i="1"/>
  <c r="BG10" i="1"/>
  <c r="BG21" i="1"/>
  <c r="BG31" i="1"/>
  <c r="BG43" i="1"/>
  <c r="BG55" i="1"/>
  <c r="BG67" i="1"/>
  <c r="BL81" i="1"/>
  <c r="BI10" i="1"/>
  <c r="BI21" i="1"/>
  <c r="BI31" i="1"/>
  <c r="BI43" i="1"/>
  <c r="BI55" i="1"/>
  <c r="BI67" i="1"/>
  <c r="BJ6" i="1"/>
  <c r="BJ18" i="1"/>
  <c r="BJ28" i="1"/>
  <c r="BJ39" i="1"/>
  <c r="BJ51" i="1"/>
  <c r="BJ75" i="1"/>
  <c r="BK61" i="1" l="1"/>
  <c r="BM61" i="1"/>
  <c r="BL69" i="1"/>
  <c r="BM67" i="1" s="1"/>
  <c r="BN79" i="1"/>
  <c r="BM79" i="1"/>
  <c r="BK55" i="1"/>
  <c r="BL57" i="1"/>
  <c r="BK31" i="1"/>
  <c r="BL33" i="1"/>
  <c r="BL51" i="1"/>
  <c r="BK49" i="1"/>
  <c r="BK10" i="1"/>
  <c r="BL12" i="1"/>
  <c r="BL6" i="1"/>
  <c r="BK4" i="1"/>
  <c r="BN67" i="1"/>
  <c r="BL39" i="1"/>
  <c r="BK37" i="1"/>
  <c r="BL18" i="1"/>
  <c r="BK16" i="1"/>
  <c r="BK43" i="1"/>
  <c r="BL45" i="1"/>
  <c r="BL75" i="1"/>
  <c r="BK73" i="1"/>
  <c r="BK21" i="1"/>
  <c r="BL23" i="1"/>
  <c r="BL28" i="1"/>
  <c r="BK26" i="1"/>
  <c r="BN4" i="1" l="1"/>
  <c r="BM4" i="1"/>
  <c r="BN21" i="1"/>
  <c r="BM21" i="1"/>
  <c r="BN37" i="1"/>
  <c r="BM37" i="1"/>
  <c r="BN31" i="1"/>
  <c r="BM31" i="1"/>
  <c r="BN73" i="1"/>
  <c r="BM73" i="1"/>
  <c r="BN43" i="1"/>
  <c r="BM43" i="1"/>
  <c r="BN55" i="1"/>
  <c r="BM55" i="1"/>
  <c r="BN10" i="1"/>
  <c r="BM10" i="1"/>
  <c r="BN49" i="1"/>
  <c r="BM49" i="1"/>
  <c r="BN26" i="1"/>
  <c r="BM26" i="1"/>
  <c r="BN16" i="1"/>
  <c r="BM16" i="1"/>
</calcChain>
</file>

<file path=xl/sharedStrings.xml><?xml version="1.0" encoding="utf-8"?>
<sst xmlns="http://schemas.openxmlformats.org/spreadsheetml/2006/main" count="1575" uniqueCount="597">
  <si>
    <t># replicates</t>
  </si>
  <si>
    <t>Replicate</t>
  </si>
  <si>
    <t>Run Date</t>
  </si>
  <si>
    <t>Mass Spectrometer</t>
  </si>
  <si>
    <t>Sample Name</t>
  </si>
  <si>
    <t>Sample Type</t>
  </si>
  <si>
    <t>Correction Interval</t>
  </si>
  <si>
    <t>d13C VPDB (Raw)</t>
  </si>
  <si>
    <t>d13C VPDB (Raw) SE</t>
  </si>
  <si>
    <t>d18O VPDB (Raw)</t>
  </si>
  <si>
    <t>d18O VPDB (Raw) SE</t>
  </si>
  <si>
    <t>d18O VSMOW (Raw)</t>
  </si>
  <si>
    <t>d18O VSMOW (Raw) SE</t>
  </si>
  <si>
    <t>d47 WG (Raw)</t>
  </si>
  <si>
    <t>d47 WG (Raw) SE</t>
  </si>
  <si>
    <t>D47 WG (Raw)</t>
  </si>
  <si>
    <t>D47 WG (Raw) SE</t>
  </si>
  <si>
    <t>d48 WG (Raw)</t>
  </si>
  <si>
    <t>d48 WG (Raw) SE</t>
  </si>
  <si>
    <t>D48 WG (Raw)</t>
  </si>
  <si>
    <t>D48 WG (Raw) SE</t>
  </si>
  <si>
    <t>d49 WG (Raw)</t>
  </si>
  <si>
    <t>d49 WG (Raw) SE</t>
  </si>
  <si>
    <t>D49 WG (Raw)</t>
  </si>
  <si>
    <t>D49 WG (Raw) SE</t>
  </si>
  <si>
    <t>D47 Nonlinearity Slope</t>
  </si>
  <si>
    <t>D47 Nonlinearity Intercepts</t>
  </si>
  <si>
    <t>D47 WG (HG)</t>
  </si>
  <si>
    <t>D47 ETF Slope</t>
  </si>
  <si>
    <t>D47 ETF Intercept</t>
  </si>
  <si>
    <t>D47 CDES (ETF)</t>
  </si>
  <si>
    <t>D47 Acid Fractionation Factor</t>
  </si>
  <si>
    <t>D48 Nonlinearity Slope</t>
  </si>
  <si>
    <t>D48 Nonlinearity Intercepts</t>
  </si>
  <si>
    <t>D48 WG (HG)</t>
  </si>
  <si>
    <t>D48 ETF Slope</t>
  </si>
  <si>
    <t>D48 ETF Intercept</t>
  </si>
  <si>
    <t>D48 CDES (ETF)</t>
  </si>
  <si>
    <t>D48 Acid Fractionation Factor</t>
  </si>
  <si>
    <t>δ13C VPDB (Final)</t>
  </si>
  <si>
    <t>δ13C VPDB (Final) average</t>
  </si>
  <si>
    <t>δ13C VPDB (Final) SD</t>
  </si>
  <si>
    <t>δ18O VPDB (Final)</t>
  </si>
  <si>
    <t>δ18O VPDB (Final) average</t>
  </si>
  <si>
    <t>δ18O VPDB (Final) SD</t>
  </si>
  <si>
    <t>δ18O VSMOW (Final)</t>
  </si>
  <si>
    <t>δ18O VSMOW (Final) average</t>
  </si>
  <si>
    <t>δ18O VSMOW (Final) SD</t>
  </si>
  <si>
    <t>Δ47 CDES (Final)</t>
  </si>
  <si>
    <t>Δ47 CDES (Final) average</t>
  </si>
  <si>
    <t>1 s.d.</t>
  </si>
  <si>
    <t>Δ47 CDES (Final) SE</t>
  </si>
  <si>
    <t>Δ48 CDES (Final)</t>
  </si>
  <si>
    <t>Δ48 CDES (Final) average</t>
  </si>
  <si>
    <t>Δ48 CDES (Final) SE</t>
  </si>
  <si>
    <t>Temperature Calibration slope (Anderson et al. 2021)</t>
  </si>
  <si>
    <t>Temperature Calibration intercept (Anderson et al. 2021)</t>
  </si>
  <si>
    <t>Temp [°C]</t>
  </si>
  <si>
    <t>Temp [°C] average</t>
  </si>
  <si>
    <t>+/- SE</t>
  </si>
  <si>
    <t>Predicted Alpha (NOTE: mineral specific)</t>
  </si>
  <si>
    <t>Predicted Alpha average (NOTE: mineral specific)</t>
  </si>
  <si>
    <t>water δ18O VSMOW</t>
  </si>
  <si>
    <t>water δ18O VSMOW average</t>
  </si>
  <si>
    <t>water δ18O VSMOW standard deviation</t>
  </si>
  <si>
    <t>LGA-1-1</t>
  </si>
  <si>
    <t>S1</t>
  </si>
  <si>
    <t>R1</t>
  </si>
  <si>
    <t>2020-05-13 15:15 PDT</t>
  </si>
  <si>
    <t>Chewbacca</t>
  </si>
  <si>
    <t>Aragonite</t>
  </si>
  <si>
    <t>2020-04-15 10:00:00 PDT</t>
  </si>
  <si>
    <t>0</t>
  </si>
  <si>
    <t>0.012</t>
  </si>
  <si>
    <t>0.013</t>
  </si>
  <si>
    <t>0.066</t>
  </si>
  <si>
    <t>0.065</t>
  </si>
  <si>
    <t>2.222</t>
  </si>
  <si>
    <t>2.155</t>
  </si>
  <si>
    <t>1=-0.644044723999902,2=-0.7569872049636313,3=0.0058082873483892294</t>
  </si>
  <si>
    <t>2=0.25959510397243557</t>
  </si>
  <si>
    <t>R2</t>
  </si>
  <si>
    <t>2020-05-20 14:52 PDT</t>
  </si>
  <si>
    <t>0.054</t>
  </si>
  <si>
    <t>0.05</t>
  </si>
  <si>
    <t>3.43</t>
  </si>
  <si>
    <t>3.327</t>
  </si>
  <si>
    <t>1=-0.6449876784962549,3=0.009559480637285067</t>
  </si>
  <si>
    <t>2=0.24764317954317006</t>
  </si>
  <si>
    <t>R3</t>
  </si>
  <si>
    <t>2020-05-26 16:01 PDT</t>
  </si>
  <si>
    <t>0.008</t>
  </si>
  <si>
    <t>0.007</t>
  </si>
  <si>
    <t>0.06</t>
  </si>
  <si>
    <t>2.976</t>
  </si>
  <si>
    <t>2.889</t>
  </si>
  <si>
    <t>1=-0.6472238600866944,3=0.009414854443375864</t>
  </si>
  <si>
    <t>2=0.2434954761467682</t>
  </si>
  <si>
    <t>LGA-1-10</t>
  </si>
  <si>
    <t>S2</t>
  </si>
  <si>
    <t>2020-05-14 19:38 PDT</t>
  </si>
  <si>
    <t>0.02</t>
  </si>
  <si>
    <t>0.069</t>
  </si>
  <si>
    <t>3.119</t>
  </si>
  <si>
    <t>3.029</t>
  </si>
  <si>
    <t>1=-0.6430688474700684,2=-0.7633804726757178,3=0.005480132693762019</t>
  </si>
  <si>
    <t>2=0.2544417980290513</t>
  </si>
  <si>
    <t>2020-05-21 19:08 PDT</t>
  </si>
  <si>
    <t>0.011</t>
  </si>
  <si>
    <t>0.053</t>
  </si>
  <si>
    <t>0.052</t>
  </si>
  <si>
    <t>4.071</t>
  </si>
  <si>
    <t>3.954</t>
  </si>
  <si>
    <t>1=-0.6437127633796687,3=0.009534002327410307</t>
  </si>
  <si>
    <t>2=0.249522446223932</t>
  </si>
  <si>
    <t>2020-05-27 20:52 PDT</t>
  </si>
  <si>
    <t>4.934</t>
  </si>
  <si>
    <t>4.789</t>
  </si>
  <si>
    <t>1=-0.6462573104295314,2=-0.8180477662833883,3=0.00942205094561177</t>
  </si>
  <si>
    <t>2=0.24778618377788447</t>
  </si>
  <si>
    <t>LGA-1-11</t>
  </si>
  <si>
    <t>S3</t>
  </si>
  <si>
    <t>2020-05-18 14:42 PDT</t>
  </si>
  <si>
    <t>0.009</t>
  </si>
  <si>
    <t>0.1</t>
  </si>
  <si>
    <t>0.097</t>
  </si>
  <si>
    <t>4.736</t>
  </si>
  <si>
    <t>4.605</t>
  </si>
  <si>
    <t>1=-0.6442387066365899,2=-0.7632530029913261,3=0.01037127275309091</t>
  </si>
  <si>
    <t>2=0.25444179802905137</t>
  </si>
  <si>
    <t>0.015</t>
  </si>
  <si>
    <t>2020-05-28 14:56 PDT</t>
  </si>
  <si>
    <t>0.094</t>
  </si>
  <si>
    <t>0.092</t>
  </si>
  <si>
    <t>2.971</t>
  </si>
  <si>
    <t>2.887</t>
  </si>
  <si>
    <t>1=-0.6470721662702986,2=-0.8125486179584664,3=0.014634802628845756</t>
  </si>
  <si>
    <t>2=0.21652894398911873</t>
  </si>
  <si>
    <t>LGA-1-12</t>
  </si>
  <si>
    <t>S4</t>
  </si>
  <si>
    <t>2020-05-18 16:48 PDT</t>
  </si>
  <si>
    <t>0.029</t>
  </si>
  <si>
    <t>0.027</t>
  </si>
  <si>
    <t>3.034</t>
  </si>
  <si>
    <t>2.948</t>
  </si>
  <si>
    <t>1=-0.6442387066365899,2=-0.7632530029913265,3=0.01037127275309091</t>
  </si>
  <si>
    <t>0.014</t>
  </si>
  <si>
    <t>2020-05-28 17:05 PDT</t>
  </si>
  <si>
    <t>0.058</t>
  </si>
  <si>
    <t>0.055</t>
  </si>
  <si>
    <t>2.004</t>
  </si>
  <si>
    <t>1.948</t>
  </si>
  <si>
    <t>1=-0.6470721662702984,2=-0.8125486179584664,3=0.014634802628845645</t>
  </si>
  <si>
    <t>2=0.21652894398911882</t>
  </si>
  <si>
    <t>LGA-1-13</t>
  </si>
  <si>
    <t>S5</t>
  </si>
  <si>
    <t>2020-05-19 15:01 PDT</t>
  </si>
  <si>
    <t>0.057</t>
  </si>
  <si>
    <t>3.073</t>
  </si>
  <si>
    <t>2.983</t>
  </si>
  <si>
    <t>1=-0.6442315095225716,2=-0.764910649853181,3=0.010007536279997176</t>
  </si>
  <si>
    <t>2=0.25444179802905154</t>
  </si>
  <si>
    <t>0.072</t>
  </si>
  <si>
    <t>1=-0.6437127633796684,3=0.009534002327410418</t>
  </si>
  <si>
    <t>2=0.24952244622393197</t>
  </si>
  <si>
    <t>2020-05-28 19:13 PDT</t>
  </si>
  <si>
    <t>0.017</t>
  </si>
  <si>
    <t>4.543</t>
  </si>
  <si>
    <t>4.414</t>
  </si>
  <si>
    <t>1=-0.6470721662702985,2=-0.8125486179584663,3=0.014634802628845756</t>
  </si>
  <si>
    <t>2=0.21652894398911884</t>
  </si>
  <si>
    <t>LGA-1-14</t>
  </si>
  <si>
    <t>S6</t>
  </si>
  <si>
    <t>2020-05-19 17:07 PDT</t>
  </si>
  <si>
    <t>2.261</t>
  </si>
  <si>
    <t>2.194</t>
  </si>
  <si>
    <t>1=-0.6442315095225715,2=-0.7649106498531814,3=0.010007536279996843</t>
  </si>
  <si>
    <t>2020-05-29 16:34 PDT</t>
  </si>
  <si>
    <t>0.047</t>
  </si>
  <si>
    <t>3.945</t>
  </si>
  <si>
    <t>3.832</t>
  </si>
  <si>
    <t>1=-0.6470721662702986,2=-0.8125486179584666,3=0.014634802628845756</t>
  </si>
  <si>
    <t>2=0.21652894398911876</t>
  </si>
  <si>
    <t>2020-05-29 20:56 PDT</t>
  </si>
  <si>
    <t>0.063</t>
  </si>
  <si>
    <t>0.061</t>
  </si>
  <si>
    <t>3.741</t>
  </si>
  <si>
    <t>3.631</t>
  </si>
  <si>
    <t>1=-0.647072166270299,2=-0.8125486179584668,3=0.014634802628845422</t>
  </si>
  <si>
    <t>LGA-1-2</t>
  </si>
  <si>
    <t>S7</t>
  </si>
  <si>
    <t>2020-05-13 17:24 PDT</t>
  </si>
  <si>
    <t>0.034</t>
  </si>
  <si>
    <t>0.033</t>
  </si>
  <si>
    <t>3.853</t>
  </si>
  <si>
    <t>3.742</t>
  </si>
  <si>
    <t>1=-0.6440447239999021,2=-0.7569872049636311,3=0.005808287348389007</t>
  </si>
  <si>
    <t>2=0.2595951039724354</t>
  </si>
  <si>
    <t>2020-05-20 16:58 PDT</t>
  </si>
  <si>
    <t>0.01</t>
  </si>
  <si>
    <t>0.051</t>
  </si>
  <si>
    <t>3.364</t>
  </si>
  <si>
    <t>3.265</t>
  </si>
  <si>
    <t>1=-0.6449876784962549,3=0.00955948063728529</t>
  </si>
  <si>
    <t>2=0.24764317954316994</t>
  </si>
  <si>
    <t>2020-05-26 18:08 PDT</t>
  </si>
  <si>
    <t>0.016</t>
  </si>
  <si>
    <t>2.945</t>
  </si>
  <si>
    <t>2.86</t>
  </si>
  <si>
    <t>1=-0.6472238600866947,3=0.009414854443375975</t>
  </si>
  <si>
    <t>2=0.24349547614676825</t>
  </si>
  <si>
    <t>LGA-1-3</t>
  </si>
  <si>
    <t>S8</t>
  </si>
  <si>
    <t>2019-08-20 20:27 PDT</t>
  </si>
  <si>
    <t>2019-08-19 08:00:00 PDT</t>
  </si>
  <si>
    <t>0.062</t>
  </si>
  <si>
    <t>5.954</t>
  </si>
  <si>
    <t>5.789</t>
  </si>
  <si>
    <t>1=-0.7145129341482305,2=-0.8030052997346596,3=-0.058980357343743295</t>
  </si>
  <si>
    <t>1=0.2685926175644529,2=0.14218914326505175,3=2.4236288212178243</t>
  </si>
  <si>
    <t>2019-08-27 16:39 PDT</t>
  </si>
  <si>
    <t>0.07</t>
  </si>
  <si>
    <t>2.034</t>
  </si>
  <si>
    <t>1.98</t>
  </si>
  <si>
    <t>1=-0.7165598376208264,2=-0.8173966768845439,3=-0.046059820141760466</t>
  </si>
  <si>
    <t>1=0.08861462558795218,2=0.11894470097896451,3=1.2961410980240327</t>
  </si>
  <si>
    <t>2019-08-28 14:30 PDT</t>
  </si>
  <si>
    <t>0.018</t>
  </si>
  <si>
    <t>0.039</t>
  </si>
  <si>
    <t>0.036</t>
  </si>
  <si>
    <t>5.928</t>
  </si>
  <si>
    <t>5.764</t>
  </si>
  <si>
    <t>1=-0.7186989902965778,2=-0.8154971715079368,3=-0.0457902821857592</t>
  </si>
  <si>
    <t>1=0.10508184224632725,2=0.1197565568116478,3=1.3099383181675548</t>
  </si>
  <si>
    <t>LGA-1-4</t>
  </si>
  <si>
    <t>S9</t>
  </si>
  <si>
    <t>2020-05-13 19:33 PDT</t>
  </si>
  <si>
    <t>0.032</t>
  </si>
  <si>
    <t>3.403</t>
  </si>
  <si>
    <t>3.304</t>
  </si>
  <si>
    <t>1=-0.644044723999902,2=-0.7569872049636313,3=0.005808287348389007</t>
  </si>
  <si>
    <t>2=0.25959510397243546</t>
  </si>
  <si>
    <t>2020-05-20 19:09 PDT</t>
  </si>
  <si>
    <t>3.762</t>
  </si>
  <si>
    <t>3.654</t>
  </si>
  <si>
    <t>1=-0.644987678496255,3=0.009559480637285178</t>
  </si>
  <si>
    <t>2=0.24764317954317</t>
  </si>
  <si>
    <t>2020-05-26 20:16 PDT</t>
  </si>
  <si>
    <t>0.08</t>
  </si>
  <si>
    <t>0.078</t>
  </si>
  <si>
    <t>4.91</t>
  </si>
  <si>
    <t>4.771</t>
  </si>
  <si>
    <t>1=-0.6472238600866947,3=0.009414854443375864</t>
  </si>
  <si>
    <t>LGA-1-5</t>
  </si>
  <si>
    <t>S10</t>
  </si>
  <si>
    <t>2019-08-27 20:46 PDT</t>
  </si>
  <si>
    <t>4.711</t>
  </si>
  <si>
    <t>4.562</t>
  </si>
  <si>
    <t>1=-0.7165598376208264,2=-0.8173966768845438,3=-0.04605982014176069</t>
  </si>
  <si>
    <t>1=0.08861462558795227,2=0.1189447009789642,3=1.2961410980240324</t>
  </si>
  <si>
    <t>2019-08-28 18:38 PDT</t>
  </si>
  <si>
    <t>4.383</t>
  </si>
  <si>
    <t>4.244</t>
  </si>
  <si>
    <t>1=-0.7186989902965779,2=-0.8154971715079371,3=-0.04579028218575998</t>
  </si>
  <si>
    <t>1=0.10508184224632727,2=0.11975655681164753,3=1.3099383181675548</t>
  </si>
  <si>
    <t>2019-08-29 13:51 PDT</t>
  </si>
  <si>
    <t>4.716</t>
  </si>
  <si>
    <t>4.567</t>
  </si>
  <si>
    <t>1=-0.7184989925781154,2=-0.8334156926439362,3=-0.051121643417401996</t>
  </si>
  <si>
    <t>1=0.09270312942492091,2=0.13032597450401337,3=1.3432281880590395</t>
  </si>
  <si>
    <t>LGA-1-6</t>
  </si>
  <si>
    <t>S11</t>
  </si>
  <si>
    <t>2020-05-14 15:21 PDT</t>
  </si>
  <si>
    <t>0.077</t>
  </si>
  <si>
    <t>0.076</t>
  </si>
  <si>
    <t>4.197</t>
  </si>
  <si>
    <t>4.083</t>
  </si>
  <si>
    <t>1=-0.6430688474700684,2=-0.7633804726757177,3=0.00548013269376213</t>
  </si>
  <si>
    <t>2=0.2544417980290514</t>
  </si>
  <si>
    <t>2020-05-21 14:50 PDT</t>
  </si>
  <si>
    <t>2.143</t>
  </si>
  <si>
    <t>2.088</t>
  </si>
  <si>
    <t>1=-0.6437127633796688,3=0.009534002327410307</t>
  </si>
  <si>
    <t>2=0.2495224462239319</t>
  </si>
  <si>
    <t>2020-05-27 16:34 PDT</t>
  </si>
  <si>
    <t>1.656</t>
  </si>
  <si>
    <t>1.61</t>
  </si>
  <si>
    <t>1=-0.6462573104295314,2=-0.818047766283388,3=0.00942205094561177</t>
  </si>
  <si>
    <t>2=0.24778618377788458</t>
  </si>
  <si>
    <t>LGA-1-7</t>
  </si>
  <si>
    <t>S12</t>
  </si>
  <si>
    <t>2019-08-29 00:47 PDT</t>
  </si>
  <si>
    <t>5.078</t>
  </si>
  <si>
    <t>4.94</t>
  </si>
  <si>
    <t>1=-0.7186806711077799,2=-0.8295246233668497,3=-0.04584455305303603</t>
  </si>
  <si>
    <t>1=0.10501149549619286,2=0.1320437855710903,3=1.3095471789770978</t>
  </si>
  <si>
    <t>2019-08-29 15:54 PDT</t>
  </si>
  <si>
    <t>5.874</t>
  </si>
  <si>
    <t>5.716</t>
  </si>
  <si>
    <t>1=-0.7184989925781153,2=-0.833415692643936,3=-0.05112164341740144</t>
  </si>
  <si>
    <t>1=0.09270312942492104,2=0.13032597450401337,3=1.3432281880590393</t>
  </si>
  <si>
    <t>2019-08-29 22:12 PDT</t>
  </si>
  <si>
    <t>3.872</t>
  </si>
  <si>
    <t>3.766</t>
  </si>
  <si>
    <t>1=-0.7184989925781156,2=-0.8334156926439362,3=-0.051121643417401774</t>
  </si>
  <si>
    <t>1=0.09270312942492111,2=0.1303259745040132,3=1.3432281880590402</t>
  </si>
  <si>
    <t>LGA-1-8</t>
  </si>
  <si>
    <t>S13</t>
  </si>
  <si>
    <t>2019-08-20 22:31 PDT</t>
  </si>
  <si>
    <t>0.089</t>
  </si>
  <si>
    <t>0.087</t>
  </si>
  <si>
    <t>3.115</t>
  </si>
  <si>
    <t>2.999</t>
  </si>
  <si>
    <t>1=-0.7145129341482302,2=-0.8030052997346594,3=-0.058980357343743184</t>
  </si>
  <si>
    <t>1=0.26859261756445335,2=0.14218914326505208,3=2.4236288212178247</t>
  </si>
  <si>
    <t>2019-08-27 18:42 PDT</t>
  </si>
  <si>
    <t>3.606</t>
  </si>
  <si>
    <t>3.471</t>
  </si>
  <si>
    <t>1=-0.7165598376208264,2=-0.8173966768845435,3=-0.04605982014176013</t>
  </si>
  <si>
    <t>1=0.08861462558795224,2=0.11894470097896429,3=1.2961410980240322</t>
  </si>
  <si>
    <t>2019-08-28 16:34 PDT</t>
  </si>
  <si>
    <t>3</t>
  </si>
  <si>
    <t>2.89</t>
  </si>
  <si>
    <t>1=-0.7186989902965777,2=-0.8154971715079368,3=-0.045790282185759645</t>
  </si>
  <si>
    <t>1=0.10508184224632731,2=0.11975655681164729,3=1.3099383181675543</t>
  </si>
  <si>
    <t>LGA-1-9</t>
  </si>
  <si>
    <t>S14</t>
  </si>
  <si>
    <t>2020-05-14 17:28 PDT</t>
  </si>
  <si>
    <t>4.468</t>
  </si>
  <si>
    <t>4.345</t>
  </si>
  <si>
    <t>1=-0.6430688474700683,2=-0.763380472675718,3=0.00548013269376213</t>
  </si>
  <si>
    <t>2020-05-21 17:00 PDT</t>
  </si>
  <si>
    <t>0.019</t>
  </si>
  <si>
    <t>3.747</t>
  </si>
  <si>
    <t>3.651</t>
  </si>
  <si>
    <t>2020-05-27 18:42 PDT</t>
  </si>
  <si>
    <t>0.059</t>
  </si>
  <si>
    <t>3.266</t>
  </si>
  <si>
    <t>3.177</t>
  </si>
  <si>
    <t>1=-0.6462573104295314,2=-0.8180477662833882,3=0.00942205094561177</t>
  </si>
  <si>
    <t>1 s.d</t>
  </si>
  <si>
    <t>95 CI</t>
  </si>
  <si>
    <t>LGA-2-1</t>
  </si>
  <si>
    <t>1=-0.7047057674658511,2=-0.8622135167887675,3=-0.0423135299114078</t>
  </si>
  <si>
    <t>1=-0.21137124683458733,2=-0.3077166801862907,3=0.012564474508644119</t>
  </si>
  <si>
    <t>1=-0.7013618841426768,2=-0.8615297086649232,3=-0.03860157637722783</t>
  </si>
  <si>
    <t>1=-0.18721201264092002,2=-0.35923900688757443,3=-0.04904120350294383</t>
  </si>
  <si>
    <t>1=-0.7113967944790845,2=-0.8730310463599071,3=-0.030305460019771857</t>
  </si>
  <si>
    <t>1=0.03894745381906002,2=-0.3438502892352997,3=0.03177169263524833</t>
  </si>
  <si>
    <t>LGA-2-10</t>
  </si>
  <si>
    <t>1=-0.7213931357494353,2=-0.876325175062467,3=0.00444525041408117</t>
  </si>
  <si>
    <t>1=-0.24933374598963484,2=-0.2839632301782908,3=-0.004683648033548898</t>
  </si>
  <si>
    <t>1=-0.24933374598963495,2=-0.28396323017829084,3=-0.004683648033548787</t>
  </si>
  <si>
    <t>1=-0.6845369107003249,2=-0.8381590540614015,3=-0.03979396207486463</t>
  </si>
  <si>
    <t>1=-0.15886022498833527,2=-0.2696602556036798,3=0.07954900991872327</t>
  </si>
  <si>
    <t>R4</t>
  </si>
  <si>
    <t>1=-0.5649825734197855,2=-0.7607465790342883,3=-0.06782135235420939</t>
  </si>
  <si>
    <t>1=-0.039903776807623983,2=-0.22974086479288908,3=-0.02612033273879102</t>
  </si>
  <si>
    <t>LGA-2-11</t>
  </si>
  <si>
    <t>1=-0.7213931357494354,2=-0.8763251750624669,3=0.004445250414081059</t>
  </si>
  <si>
    <t>1=-0.249333745989635,2=-0.283963230178291,3=-0.004683648033549065</t>
  </si>
  <si>
    <t>1=-0.6845369107003249,2=-0.8381590540614018,3=-0.03979396207486485</t>
  </si>
  <si>
    <t>1=-0.15886022498833513,2=-0.2696602556036797,3=0.0795490099187233</t>
  </si>
  <si>
    <t>1=-0.6878954277984054,2=-0.8501666220356124,3=0.008913319440718936</t>
  </si>
  <si>
    <t>1=-0.23090628471087957,2=-0.40607382857001,3=-0.03851359523809306</t>
  </si>
  <si>
    <t>LGA-2-12</t>
  </si>
  <si>
    <t>1=-0.7213931357494354,2=-0.876325175062467,3=0.004445250414081281</t>
  </si>
  <si>
    <t>1=-0.24933374598963473,2=-0.2839632301782907,3=-0.0046836480335486486</t>
  </si>
  <si>
    <t>1=-0.5652401902224645,2=-0.7675315270933754,3=-0.06923851299315326</t>
  </si>
  <si>
    <t>1=-0.03934924356660546,2=-0.22522043754818608,3=-0.024347885702319383</t>
  </si>
  <si>
    <t>1=-0.700959008790911,2=-0.8447372075830457,3=0.01641034991178325</t>
  </si>
  <si>
    <t>1=-0.225953224969674,2=-0.3789687940133508,3=-0.04091302805628458</t>
  </si>
  <si>
    <t>LGA-2-13</t>
  </si>
  <si>
    <t>1=-0.7213931357494355,2=-0.876325175062467,3=0.004445250414081281</t>
  </si>
  <si>
    <t>1=-0.24933374598963498,2=-0.28396323017829095,3=-0.004683648033548898</t>
  </si>
  <si>
    <t>2=-0.8429204235938846,3=-0.04281821283855536</t>
  </si>
  <si>
    <t>1=0.04913741156848735,2=-0.21111071520987082,3=-0.04251951393877478</t>
  </si>
  <si>
    <t>1=-0.5652401902224644,2=-0.7675315270933752,3=-0.06923851299315331</t>
  </si>
  <si>
    <t>1=-0.03934924356660545,2=-0.22522043754818605,3=-0.02434788570231937</t>
  </si>
  <si>
    <t>1=-0.700959008790911,2=-0.8447372075830457,3=0.016410349911783362</t>
  </si>
  <si>
    <t>1=-0.22595322496967418,2=-0.37896879401335104,3=-0.040913028056284356</t>
  </si>
  <si>
    <t>LGA-2-14</t>
  </si>
  <si>
    <t>1=-0.7213931357494354,2=-0.8763251750624669,3=0.004445250414081392</t>
  </si>
  <si>
    <t>1=-0.24933374598963487,2=-0.2839632301782908,3=-0.004683648033548704</t>
  </si>
  <si>
    <t>1=-0.5652401902224647,2=-0.7675315270933754,3=-0.06923851299315348</t>
  </si>
  <si>
    <t>1=-0.03934924356660532,2=-0.225220437548186,3=-0.024347885702319317</t>
  </si>
  <si>
    <t>1=-0.5652401902224645,2=-0.7675315270933752,3=-0.06923851299315309</t>
  </si>
  <si>
    <t>1=-0.0393492435666054,2=-0.22522043754818602,3=-0.024347885702319383</t>
  </si>
  <si>
    <t>LGA-2-15</t>
  </si>
  <si>
    <t>1=-0.716559800234209,2=-0.853206410634921,3=2.5331197713307496E-5</t>
  </si>
  <si>
    <t>1=-0.1507406750715249,2=-0.3096072815016493,3=0.16130219473267987</t>
  </si>
  <si>
    <t>1=-0.7166890819881192,2=-0.8431760342050083,3=0.0014701713893200408</t>
  </si>
  <si>
    <t>1=-0.15194998959773595,2=-0.32315881544038894,3=0.15969891142279205</t>
  </si>
  <si>
    <t>1=-0.7042048767941476,2=-0.8825081493658934,3=0.008546758112105257</t>
  </si>
  <si>
    <t>1=-0.2160032587191971,2=-0.27983718919951883,3=0.05171721163912016</t>
  </si>
  <si>
    <t>LGA-2-16</t>
  </si>
  <si>
    <t>1=-0.7042048767941478,2=-0.8825081493658932,3=0.008546758112105257</t>
  </si>
  <si>
    <t>1=-0.2160032587191972,2=-0.2798371891995189,3=0.0517172116391201</t>
  </si>
  <si>
    <t>1=-0.6878954277984054,2=-0.8501666220356126,3=0.008913319440718825</t>
  </si>
  <si>
    <t>1=-0.23090628471088095,2=-0.40607382857001045,3=-0.03851359523809375</t>
  </si>
  <si>
    <t>R5</t>
  </si>
  <si>
    <t>1=-0.6949155734211534,2=-0.837413416681572,3=0.010063891002313308</t>
  </si>
  <si>
    <t>1=-0.22850738210916807,2=-0.3751614695069225,3=-0.019842778546538847</t>
  </si>
  <si>
    <t>LGA-2-17</t>
  </si>
  <si>
    <t>1=-0.7042048767941476,2=-0.8825081493658933,3=0.008546758112105368</t>
  </si>
  <si>
    <t>1=-0.6878954277984055,2=-0.8501666220356123,3=0.008913319440719047</t>
  </si>
  <si>
    <t>1=-0.23090628471088048,2=-0.4060738285700104,3=-0.038513595238094056</t>
  </si>
  <si>
    <t>1=-0.7009590087909112,2=-0.8447372075830457,3=0.016410349911783362</t>
  </si>
  <si>
    <t>1=-0.225953224969675,2=-0.3789687940133516,3=-0.04091302805628505</t>
  </si>
  <si>
    <t>LGA-2-2</t>
  </si>
  <si>
    <t>1=-0.7013618841426766,2=-0.8615297086649235,3=-0.03860157637722772</t>
  </si>
  <si>
    <t>1=-0.18721201264092,2=-0.3592390068875745,3=-0.0490412035029438</t>
  </si>
  <si>
    <t>1=-0.7104454982203429,2=-0.8735250556120178,3=-0.029768556073608843</t>
  </si>
  <si>
    <t>1=-0.08096010197075104,2=-0.3378312462979094,3=0.03509443637430534</t>
  </si>
  <si>
    <t>1=-0.5672983231345697,2=-0.7911387925133453,3=-0.05424281981286827</t>
  </si>
  <si>
    <t>1=-0.03846983993525831,2=-0.2416756116878998,3=-0.04048460023530252</t>
  </si>
  <si>
    <t>LGA-2-3</t>
  </si>
  <si>
    <t>1=-0.7013618841426764,2=-0.8615297086649233,3=-0.0386015763772275</t>
  </si>
  <si>
    <t>1=-0.18721201264092002,2=-0.35923900688757443,3=-0.049041203502943775</t>
  </si>
  <si>
    <t>1=-0.7104454982203428,2=-0.8735250556120173,3=-0.029768556073608732</t>
  </si>
  <si>
    <t>1=-0.08096010197075128,2=-0.33783124629790934,3=0.03509443637430516</t>
  </si>
  <si>
    <t>1=-0.5672983231345697,2=-0.7911387925133455,3=-0.05424281981286816</t>
  </si>
  <si>
    <t>1=-0.038469839935258224,2=-0.2416756116878998,3=-0.04048460023530245</t>
  </si>
  <si>
    <t>LGA-2-5</t>
  </si>
  <si>
    <t>1=-0.7048349773732219,2=-0.8646766575180328,3=-0.02994911253619681</t>
  </si>
  <si>
    <t>1=0.03553148386996608,2=-0.35532415166332043,3=-0.0054721158076563026</t>
  </si>
  <si>
    <t>1=-0.7024690824277787,2=-0.8842530405134084,3=-0.028233010074354303</t>
  </si>
  <si>
    <t>1=-0.25071458854020096,2=-0.26174517672272507,3=0.02230291735047768</t>
  </si>
  <si>
    <t>1=-0.7039458850559611,2=-0.8814049966490376,3=-0.02729191435663525</t>
  </si>
  <si>
    <t>1=-0.19528305825001263,2=-0.26118456935238876,3=0.03150192984973471</t>
  </si>
  <si>
    <t>LGA-2-6</t>
  </si>
  <si>
    <t>1=-0.7048349773732218,2=-0.8646766575180325,3=-0.029949112536196698</t>
  </si>
  <si>
    <t>1=0.03553148386996598,2=-0.3553241516633203,3=-0.005472115807656219</t>
  </si>
  <si>
    <t>1=-0.7039458850559609,2=-0.8814049966490375,3=-0.027291914356635583</t>
  </si>
  <si>
    <t>1=-0.1952830582500125,2=-0.2611845693523888,3=0.03150192984973471</t>
  </si>
  <si>
    <t>1=-0.7009600569408687,2=-0.8715362905910957,3=-0.024569582994832584</t>
  </si>
  <si>
    <t>1=-0.12714995107441499,2=0.1224405264713215,3=0.030999868577973683</t>
  </si>
  <si>
    <t>1=-0.5672983231345698,2=-0.7911387925133457,3=-0.05424281981286849</t>
  </si>
  <si>
    <t>1=-0.03846983993525834,2=-0.2416756116878999,3=-0.040484600235302586</t>
  </si>
  <si>
    <t>1=-0.6878954277984054,2=-0.8501666220356124,3=0.008913319440719047</t>
  </si>
  <si>
    <t>1=-0.23090628471088073,2=-0.4060738285700104,3=-0.03851359523809414</t>
  </si>
  <si>
    <t>LGA-2-7</t>
  </si>
  <si>
    <t>1=-0.7048349773732218,2=-0.8646766575180327,3=-0.02994911253619681</t>
  </si>
  <si>
    <t>1=0.03553148386996613,2=-0.35532415166332026,3=-0.005472115807656115</t>
  </si>
  <si>
    <t>1=-0.7039458850559611,2=-0.8814049966490373,3=-0.02729191435663536</t>
  </si>
  <si>
    <t>1=-0.19528305825001263,2=-0.2611845693523888,3=0.031501929849734656</t>
  </si>
  <si>
    <t>1=-0.7009600569408685,2=-0.8715362905910959,3=-0.024569582994832473</t>
  </si>
  <si>
    <t>1=-0.12714995107441493,2=0.12244052647132161,3=0.030999868577973516</t>
  </si>
  <si>
    <t>1=-0.5652401902224644,2=-0.7675315270933755,3=-0.0692385129931532</t>
  </si>
  <si>
    <t>1=-0.03934924356660548,2=-0.2252204375481861,3=-0.02434788570231943</t>
  </si>
  <si>
    <t>1=-0.6878954277984056,2=-0.8501666220356124,3=0.008913319440719158</t>
  </si>
  <si>
    <t>1=-0.23090628471088048,2=-0.4060738285700106,3=-0.038513595238093806</t>
  </si>
  <si>
    <t>LGA-2-8</t>
  </si>
  <si>
    <t>LGA-2-9</t>
  </si>
  <si>
    <t>1=-0.7048349773732221,2=-0.8646766575180329,3=-0.029949112536196698</t>
  </si>
  <si>
    <t>1=0.03553148386996643,2=-0.3553241516633202,3=-0.005472115807656046</t>
  </si>
  <si>
    <t>1=-0.7213931357494354,2=-0.8763251750624671,3=0.004445250414081503</t>
  </si>
  <si>
    <t>1=-0.24933374598963484,2=-0.28396323017829084,3=-0.004683648033548871</t>
  </si>
  <si>
    <t>1=-0.7213931357494354,2=-0.876325175062467,3=0.004445250414081503</t>
  </si>
  <si>
    <t>1=-0.24933374598963484,2=-0.28396323017829084,3=-0.004683648033548954</t>
  </si>
  <si>
    <t>1=-0.6845369107003246,2=-0.8381590540614016,3=-0.03979396207486485</t>
  </si>
  <si>
    <t>1=-0.15886022498833519,2=-0.2696602556036798,3=0.07954900991872324</t>
  </si>
  <si>
    <t>LGA-3-1</t>
  </si>
  <si>
    <t>1=-0.7042048767941477,2=-0.8825081493658941,3=0.008546758112105368</t>
  </si>
  <si>
    <t>1=-0.2160032587191971,2=-0.2798371891995189,3=0.05171721163912016</t>
  </si>
  <si>
    <t>1=-0.7049973996998555,2=-0.8832342354904733,3=0.007455560627665281</t>
  </si>
  <si>
    <t>1=-0.18745257052337194,2=-0.27118183893382714,3=0.0453173275331078</t>
  </si>
  <si>
    <t>1=-0.7049980826786417,2=-0.8832394051349168,3=0.007441737975797391</t>
  </si>
  <si>
    <t>1=-0.19265450018040697,2=-0.2584311138813656,3=0.04727779148551309</t>
  </si>
  <si>
    <t>LGA-3-10-1</t>
  </si>
  <si>
    <t>1=-0.7129121277958228,2=-0.8509698942165691,3=0.00234555956214888</t>
  </si>
  <si>
    <t>1=-0.2916360772058234,2=-0.28116699063807876,3=-0.03298500806464316</t>
  </si>
  <si>
    <t>1=-0.7073710526887361,2=-0.8161256954840027,3=0.0010961086785457042</t>
  </si>
  <si>
    <t>1=-0.17491184742883337,2=-0.19997613997918723,3=0.07321270130460214</t>
  </si>
  <si>
    <t>1=-0.7177539869041029,2=-0.8498876104087292,3=-0.010356958451262943</t>
  </si>
  <si>
    <t>1=-0.08150910146088494,2=-0.14497442064977534,3=0.15029614527094884</t>
  </si>
  <si>
    <t>LGA-3-10-2</t>
  </si>
  <si>
    <t>1=-0.7129121277958227,2=-0.8509698942165693,3=0.00234555956214888</t>
  </si>
  <si>
    <t>1=-0.29163607720582335,2=-0.28116699063807854,3=-0.032985008064643384</t>
  </si>
  <si>
    <t>1=-0.707371052688736,2=-0.8161256954840027,3=0.0010961086785455931</t>
  </si>
  <si>
    <t>1=-0.17491184742883356,2=-0.19997613997918756,3=0.07321270130460167</t>
  </si>
  <si>
    <t>1=-0.7177539869041029,2=-0.8498876104087293,3=-0.010356958451263054</t>
  </si>
  <si>
    <t>1=-0.08150910146088484,2=-0.14497442064977503,3=0.1502961452709491</t>
  </si>
  <si>
    <t>LGA-3-11</t>
  </si>
  <si>
    <t>1=-0.7129121277958227,2=-0.8509698942165693,3=0.002345559562148769</t>
  </si>
  <si>
    <t>1=-0.291636077205824,2=-0.2811669906380794,3=-0.03298500806464405</t>
  </si>
  <si>
    <t>1=-0.7073710526887358,2=-0.8161256954840022,3=0.0010961086785457042</t>
  </si>
  <si>
    <t>1=-0.17491184742883356,2=-0.19997613997918764,3=0.07321270130460153</t>
  </si>
  <si>
    <t>1=-0.7220785732789919,2=-0.796364054149665,3=0.010245971249172592</t>
  </si>
  <si>
    <t>1=-0.0633947830888485,2=0.038151399992746596,3=0.4518272721969534</t>
  </si>
  <si>
    <t>LGA-3-12</t>
  </si>
  <si>
    <t>1=-0.7129121277958229,2=-0.8509698942165694,3=0.002345559562148658</t>
  </si>
  <si>
    <t>1=-0.29163607720582424,2=-0.2811669906380793,3=-0.03298500806464416</t>
  </si>
  <si>
    <t>1=-0.707371052688736,2=-0.8161256954840023,3=0.0010961086785455931</t>
  </si>
  <si>
    <t>1=-0.17491184742883356,2=-0.19997613997918773,3=0.07321270130460139</t>
  </si>
  <si>
    <t>1=-0.7220785732789917,2=-0.796364054149665,3=0.010245971249172814</t>
  </si>
  <si>
    <t>1=-0.0633947830888483,2=0.03815139999274668,3=0.4518272721969534</t>
  </si>
  <si>
    <t>LGA-3-13</t>
  </si>
  <si>
    <t>1=-0.7085776681126374,2=-0.8191398286465499,3=5.2424601609035726E-5</t>
  </si>
  <si>
    <t>1=-0.1628497345168057,2=-0.18775337401274933,3=0.09312250080665871</t>
  </si>
  <si>
    <t>1=-0.7197952643876561,2=-0.7710355820211141,3=0.018808036351105395</t>
  </si>
  <si>
    <t>1=-0.050757426186456046,2=0.01703628598102997,3=0.5736363063745397</t>
  </si>
  <si>
    <t>1=-0.7072808846728367,2=-0.7381026709757618,3=0.01666563111020669</t>
  </si>
  <si>
    <t>1=-0.06829531624721356,2=0.003801297918293728,3=0.4399994857721676</t>
  </si>
  <si>
    <t>LGA-3-14</t>
  </si>
  <si>
    <t>1=-0.7085776681126377,2=-0.8191398286465503,3=5.242460160881368E-5</t>
  </si>
  <si>
    <t>1=-0.162849734516806,2=-0.18775337401274983,3=0.09312250080665835</t>
  </si>
  <si>
    <t>1=-0.7197952643876561,2=-0.7710355820211141,3=0.018808036351105173</t>
  </si>
  <si>
    <t>1=-0.050757426186455554,2=0.01703628598102981,3=0.5736363063745403</t>
  </si>
  <si>
    <t>1=-0.7072808846728366,2=-0.7381026709757619,3=0.01666563111020669</t>
  </si>
  <si>
    <t>1=-0.06829531624721376,2=0.0038012979182935475,3=0.4399994857721673</t>
  </si>
  <si>
    <t>LGA-3-15</t>
  </si>
  <si>
    <t>1=-0.7085776681126379,2=-0.8191398286465505,3=5.2424601608924704E-5</t>
  </si>
  <si>
    <t>1=-0.1628497345168059,2=-0.18775337401274922,3=0.09312250080665846</t>
  </si>
  <si>
    <t>1=-0.7197952643876556,2=-0.7710355820211139,3=0.018808036351105395</t>
  </si>
  <si>
    <t>1=-0.050757426186455255,2=0.017036285981029582,3=0.5736363063745407</t>
  </si>
  <si>
    <t>1=-0.7072808846728363,2=-0.7381026709757617,3=0.016665631110206802</t>
  </si>
  <si>
    <t>1=-0.06829531624721372,2=0.003801297918293464,3=0.43999948577216785</t>
  </si>
  <si>
    <t>LGA-3-16</t>
  </si>
  <si>
    <t>1=-0.7085776681126377,2=-0.8191398286465504,3=5.242460160881368E-5</t>
  </si>
  <si>
    <t>1=-0.1628497345168058,2=-0.1877533740127493,3=0.09312250080665857</t>
  </si>
  <si>
    <t>1=-0.7197952643876558,2=-0.771035582021114,3=0.018808036351105395</t>
  </si>
  <si>
    <t>1=-0.050757426186455554,2=0.017036285981029978,3=0.5736363063745403</t>
  </si>
  <si>
    <t>1=-0.7072808846728366,2=-0.7381026709757614,3=0.016665631110206913</t>
  </si>
  <si>
    <t>1=-0.06829531624721347,2=0.0038012979182937,3=0.43999948577216735</t>
  </si>
  <si>
    <t>LGA-3-18</t>
  </si>
  <si>
    <t>1=-0.7044658333824969,2=-0.7367924888991086,3=0.012386771061830948</t>
  </si>
  <si>
    <t>1=-0.07855516848879164,2=-0.026557864631599468,3=0.3158094520154965</t>
  </si>
  <si>
    <t>1=-0.7026367724301938,2=-0.7387283485241457,3=0.00878084396375578</t>
  </si>
  <si>
    <t>1=-0.07263067703509321,2=-0.3435641303186643,3=0.16142980629827794</t>
  </si>
  <si>
    <t>1=-0.7126490708539318,2=-0.7457552422854671,3=-0.0017399193886825648</t>
  </si>
  <si>
    <t>1=-0.11036941632741765,2=-0.1414634518292996,3=0.08948409609848454</t>
  </si>
  <si>
    <t>LGA-3-19</t>
  </si>
  <si>
    <t>1=-0.7044658333824968,2=-0.7367924888991088,3=0.012386771061831059</t>
  </si>
  <si>
    <t>1=-0.07855516848879184,2=-0.026557864631599044,3=0.31580945201549665</t>
  </si>
  <si>
    <t>1=-0.7026367724301936,2=-0.7387283485241458,3=0.00878084396375578</t>
  </si>
  <si>
    <t>1=-0.07263067703509352,2=-0.34356413031866473,3=0.16142980629827758</t>
  </si>
  <si>
    <t>LGA-3-2</t>
  </si>
  <si>
    <t>1=-0.7049973996998553,2=-0.8832342354904731,3=0.007455560627665281</t>
  </si>
  <si>
    <t>1=-0.1874525705233719,2=-0.271181838933827,3=0.0453173275331078</t>
  </si>
  <si>
    <t>1=-0.7049980826786415,2=-0.8832394051349165,3=0.007441737975797502</t>
  </si>
  <si>
    <t>1=-0.19265450018040703,2=-0.25843111388136536,3=0.047277791485513226</t>
  </si>
  <si>
    <t>1=-0.7096658275943559,2=-0.8839300034815942,3=0.007010367576094967</t>
  </si>
  <si>
    <t>1=-0.20853039524255673,2=-0.2599256101105326,3=0.05201569532062977</t>
  </si>
  <si>
    <t>LGA-3-3</t>
  </si>
  <si>
    <t>1=-0.7049973996998552,2=-0.8832342354904732,3=0.007455560627665281</t>
  </si>
  <si>
    <t>1=-0.1874525705233718,2=-0.2711818389338271,3=0.0453173275331078</t>
  </si>
  <si>
    <t>1=-0.704998082678642,2=-0.8832394051349168,3=0.00744173797579728</t>
  </si>
  <si>
    <t>1=-0.1926545001804069,2=-0.2584311138813655,3=0.04727779148551298</t>
  </si>
  <si>
    <t>1=-0.709665827594356,2=-0.883930003481594,3=0.007010367576094523</t>
  </si>
  <si>
    <t>1=-0.20853039524255676,2=-0.25992561011053267,3=0.0520156953206298</t>
  </si>
  <si>
    <t>LGA-3-4</t>
  </si>
  <si>
    <t>1=-0.7049973996998551,2=-0.8832342354904731,3=0.007455560627665281</t>
  </si>
  <si>
    <t>1=-0.18745257052337186,2=-0.2711818389338271,3=0.045317327533107715</t>
  </si>
  <si>
    <t>1=-0.7096658275943557,2=-0.8839300034815938,3=0.007010367576094745</t>
  </si>
  <si>
    <t>1=-0.20853039524255676,2=-0.25992561011053283,3=0.052015695320629746</t>
  </si>
  <si>
    <t>1=-0.7104884628226406,2=-0.8826164205184893,3=0.0024036300770583496</t>
  </si>
  <si>
    <t>1=-0.22524288827556196,2=-0.25756928275797025,3=0.018400502691220233</t>
  </si>
  <si>
    <t>LGA-3-5</t>
  </si>
  <si>
    <t>1=-0.7049973996998551,2=-0.8832342354904732,3=0.007455560627665281</t>
  </si>
  <si>
    <t>1=-0.18745257052337175,2=-0.27118183893382697,3=0.045317327533107854</t>
  </si>
  <si>
    <t>1=-0.7096658275943559,2=-0.883930003481594,3=0.007010367576094856</t>
  </si>
  <si>
    <t>1=-0.20853039524255682,2=-0.2599256101105327,3=0.05201569532062986</t>
  </si>
  <si>
    <t>1=-0.7104884628226406,2=-0.8826164205184892,3=0.0024036300770582386</t>
  </si>
  <si>
    <t>1=-0.22524288827556202,2=-0.2575692827579702,3=0.018400502691220205</t>
  </si>
  <si>
    <t>LGA-3-6</t>
  </si>
  <si>
    <t>1=-0.18745257052337186,2=-0.2711818389338271,3=0.04531732753310777</t>
  </si>
  <si>
    <t>1=-0.19265450018040683,2=-0.2584311138813654,3=0.04727779148551328</t>
  </si>
  <si>
    <t>1=-0.709665827594356,2=-0.883930003481594,3=0.007010367576095189</t>
  </si>
  <si>
    <t>1=-0.2085303952425569,2=-0.25992561011053267,3=0.05201569532062994</t>
  </si>
  <si>
    <t>LGA-3-7</t>
  </si>
  <si>
    <t>1=-0.7049980826786416,2=-0.8832394051349168,3=0.007441737975797391</t>
  </si>
  <si>
    <t>1=-0.19265450018040697,2=-0.2584311138813654,3=0.047277791485513254</t>
  </si>
  <si>
    <t>1=-0.7104884628226408,2=-0.8826164205184892,3=0.0024036300770583496</t>
  </si>
  <si>
    <t>1=-0.22524288827556196,2=-0.25756928275797014,3=0.018400502691220205</t>
  </si>
  <si>
    <t>1=-0.7103681624969882,2=-0.8803354990358033,3=0.008756914311415231</t>
  </si>
  <si>
    <t>1=-0.22917097390501567,2=-0.2512157075400824,3=0.019712726956314403</t>
  </si>
  <si>
    <t>LGA-3-8</t>
  </si>
  <si>
    <t>1=-0.5652401902224645,2=-0.7675315270933754,3=-0.06923851299315353</t>
  </si>
  <si>
    <t>1=-0.0393492435666054,2=-0.22522043754818608,3=-0.024347885702319418</t>
  </si>
  <si>
    <t>1=-0.5649825734197854,2=-0.7607465790342882,3=-0.06782135235420933</t>
  </si>
  <si>
    <t>1=-0.03990377680762391,2=-0.229740864792889,3=-0.026120332738790934</t>
  </si>
  <si>
    <t>1=-0.7049980826786417,2=-0.8832394051349168,3=0.00744173797579728</t>
  </si>
  <si>
    <t>1=-0.19265450018040697,2=-0.25843111388136547,3=0.04727779148551309</t>
  </si>
  <si>
    <t>1=-0.7104884628226407,2=-0.8826164205184889,3=0.0024036300770584607</t>
  </si>
  <si>
    <t>1=-0.22524288827556196,2=-0.2575692827579703,3=0.018400502691220122</t>
  </si>
  <si>
    <t>1=-0.7103681624969882,2=-0.8803354990358037,3=0.00875691431141501</t>
  </si>
  <si>
    <t>1=-0.2291709739050157,2=-0.2512157075400822,3=0.019712726956314375</t>
  </si>
  <si>
    <t>LGA-3-9</t>
  </si>
  <si>
    <t>1=-0.5649825734197855,2=-0.7607465790342881,3=-0.06782135235420927</t>
  </si>
  <si>
    <t>1=-0.039903776807624,2=-0.22974086479288905,3=-0.026120332738791077</t>
  </si>
  <si>
    <t>1=-0.7166890819881194,2=-0.8431760342050084,3=0.0014701713893200408</t>
  </si>
  <si>
    <t>1=-0.1519499895977359,2=-0.3231588154403888,3=0.159698911422792</t>
  </si>
  <si>
    <t>1=-0.7042048767941478,2=-0.8825081493658935,3=0.008546758112105257</t>
  </si>
  <si>
    <t>1=-0.2160032587191971,2=-0.27983718919951883,3=0.0517172116391201</t>
  </si>
  <si>
    <t>1=-0.7103681624969881,2=-0.8803354990358038,3=0.00875691431141512</t>
  </si>
  <si>
    <t>1=-0.22917097390501567,2=-0.2512157075400824,3=0.01971272695631429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</si>
</sst>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7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Verdana"/>
      <family val="2"/>
    </font>
    <font>
      <b/>
      <sz val="11"/>
      <color theme="1"/>
      <name val="Verdana"/>
      <family val="2"/>
    </font>
    <font>
      <sz val="10"/>
      <color rgb="FF000000"/>
      <name val="Verdana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b/>
      <sz val="11"/>
      <color rgb="FFFFFFFF"/>
      <name val="Verdana"/>
      <family val="2"/>
    </font>
    <font>
      <b/>
      <sz val="10"/>
      <color rgb="FFFFFFFF"/>
      <name val="Verdana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4472C4"/>
      <name val="Calibri"/>
      <family val="2"/>
    </font>
    <font>
      <sz val="9"/>
      <color theme="1"/>
      <name val="Quattrocento Sans"/>
    </font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Inconsolata"/>
    </font>
  </fonts>
  <fills count="1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0F0F0"/>
        <bgColor rgb="FFF0F0F0"/>
      </patternFill>
    </fill>
    <fill>
      <patternFill patternType="solid">
        <fgColor rgb="FFEEEEEE"/>
        <bgColor rgb="FFEEEEEE"/>
      </patternFill>
    </fill>
    <fill>
      <patternFill patternType="solid">
        <fgColor rgb="FFFF9999"/>
        <bgColor rgb="FFFF9999"/>
      </patternFill>
    </fill>
    <fill>
      <patternFill patternType="solid">
        <fgColor rgb="FFFFBDBD"/>
        <bgColor rgb="FFFFBDBD"/>
      </patternFill>
    </fill>
    <fill>
      <patternFill patternType="solid">
        <fgColor rgb="FFFFC000"/>
        <bgColor rgb="FFFFC000"/>
      </patternFill>
    </fill>
    <fill>
      <patternFill patternType="solid">
        <fgColor rgb="FFFFD961"/>
        <bgColor rgb="FFFFD961"/>
      </patternFill>
    </fill>
    <fill>
      <patternFill patternType="solid">
        <fgColor rgb="FF009900"/>
        <bgColor rgb="FF009900"/>
      </patternFill>
    </fill>
    <fill>
      <patternFill patternType="solid">
        <fgColor rgb="FF0099FF"/>
        <bgColor rgb="FF0099FF"/>
      </patternFill>
    </fill>
    <fill>
      <patternFill patternType="solid">
        <fgColor rgb="FF00C400"/>
        <bgColor rgb="FF00C400"/>
      </patternFill>
    </fill>
    <fill>
      <patternFill patternType="solid">
        <fgColor rgb="FFAA00D2"/>
        <bgColor rgb="FFAA00D2"/>
      </patternFill>
    </fill>
    <fill>
      <patternFill patternType="solid">
        <fgColor rgb="FFCC66FF"/>
        <bgColor rgb="FFCC66FF"/>
      </patternFill>
    </fill>
    <fill>
      <patternFill patternType="solid">
        <fgColor rgb="FF0033CC"/>
        <bgColor rgb="FF0033CC"/>
      </patternFill>
    </fill>
    <fill>
      <patternFill patternType="solid">
        <fgColor rgb="FF00B0F0"/>
        <bgColor rgb="FF00B0F0"/>
      </patternFill>
    </fill>
    <fill>
      <patternFill patternType="solid">
        <fgColor rgb="FFCCCCCC"/>
        <bgColor rgb="FFCCCC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9" fillId="14" borderId="0" xfId="0" applyFont="1" applyFill="1" applyAlignment="1">
      <alignment horizontal="center" wrapText="1"/>
    </xf>
    <xf numFmtId="0" fontId="7" fillId="14" borderId="3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9" fillId="14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164" fontId="13" fillId="0" borderId="0" xfId="0" applyNumberFormat="1" applyFont="1"/>
    <xf numFmtId="0" fontId="13" fillId="16" borderId="0" xfId="0" applyFont="1" applyFill="1"/>
    <xf numFmtId="0" fontId="10" fillId="16" borderId="0" xfId="0" applyFont="1" applyFill="1" applyAlignment="1">
      <alignment horizontal="center"/>
    </xf>
    <xf numFmtId="0" fontId="1" fillId="16" borderId="0" xfId="0" applyFont="1" applyFill="1" applyAlignment="1">
      <alignment wrapText="1"/>
    </xf>
    <xf numFmtId="0" fontId="1" fillId="16" borderId="0" xfId="0" applyFont="1" applyFill="1"/>
    <xf numFmtId="165" fontId="12" fillId="16" borderId="0" xfId="0" applyNumberFormat="1" applyFont="1" applyFill="1" applyAlignment="1">
      <alignment horizontal="center" vertical="center"/>
    </xf>
    <xf numFmtId="164" fontId="1" fillId="16" borderId="0" xfId="0" applyNumberFormat="1" applyFont="1" applyFill="1" applyAlignment="1">
      <alignment wrapText="1"/>
    </xf>
    <xf numFmtId="0" fontId="1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13" fillId="0" borderId="0" xfId="0" applyFont="1"/>
    <xf numFmtId="0" fontId="14" fillId="0" borderId="0" xfId="0" applyFont="1"/>
    <xf numFmtId="0" fontId="13" fillId="17" borderId="0" xfId="0" applyFont="1" applyFill="1"/>
    <xf numFmtId="0" fontId="15" fillId="17" borderId="0" xfId="0" applyFont="1" applyFill="1"/>
    <xf numFmtId="0" fontId="16" fillId="17" borderId="0" xfId="0" applyFont="1" applyFill="1"/>
    <xf numFmtId="0" fontId="0" fillId="17" borderId="0" xfId="0" applyFill="1"/>
    <xf numFmtId="22" fontId="13" fillId="0" borderId="0" xfId="0" applyNumberFormat="1" applyFont="1"/>
    <xf numFmtId="0" fontId="13" fillId="18" borderId="0" xfId="0" applyFont="1" applyFill="1"/>
    <xf numFmtId="0" fontId="15" fillId="18" borderId="0" xfId="0" applyFont="1" applyFill="1"/>
    <xf numFmtId="0" fontId="16" fillId="18" borderId="0" xfId="0" applyFont="1" applyFill="1"/>
    <xf numFmtId="0" fontId="0" fillId="18" borderId="0" xfId="0" applyFill="1"/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2826-9AF0-634F-99E7-D936714B8142}">
  <dimension ref="A1:BN997"/>
  <sheetViews>
    <sheetView workbookViewId="0">
      <selection activeCell="A84" sqref="A84"/>
    </sheetView>
  </sheetViews>
  <sheetFormatPr baseColWidth="10" defaultColWidth="14.5" defaultRowHeight="16" x14ac:dyDescent="0.2"/>
  <cols>
    <col min="1" max="1" width="11" customWidth="1"/>
    <col min="2" max="2" width="18.33203125" customWidth="1"/>
    <col min="3" max="3" width="21.6640625" customWidth="1"/>
    <col min="4" max="4" width="17.1640625" customWidth="1"/>
    <col min="5" max="5" width="12.6640625" customWidth="1"/>
    <col min="6" max="6" width="11.83203125" customWidth="1"/>
    <col min="7" max="7" width="24.6640625" customWidth="1"/>
    <col min="8" max="8" width="15.6640625" customWidth="1"/>
    <col min="9" max="9" width="37.83203125" customWidth="1"/>
    <col min="10" max="10" width="15.83203125" customWidth="1"/>
    <col min="11" max="11" width="39.83203125" customWidth="1"/>
    <col min="12" max="12" width="18" customWidth="1"/>
    <col min="13" max="13" width="41.1640625" customWidth="1"/>
    <col min="14" max="14" width="13" customWidth="1"/>
    <col min="15" max="15" width="40.1640625" customWidth="1"/>
    <col min="16" max="16" width="16.1640625" customWidth="1"/>
    <col min="17" max="17" width="40.83203125" customWidth="1"/>
    <col min="18" max="18" width="13" customWidth="1"/>
    <col min="19" max="19" width="40.1640625" customWidth="1"/>
    <col min="20" max="20" width="13.1640625" customWidth="1"/>
    <col min="21" max="21" width="40.6640625" customWidth="1"/>
    <col min="22" max="22" width="13" customWidth="1"/>
    <col min="23" max="23" width="40.6640625" customWidth="1"/>
    <col min="24" max="24" width="16.1640625" customWidth="1"/>
    <col min="25" max="25" width="40.6640625" customWidth="1"/>
    <col min="26" max="26" width="20.1640625" customWidth="1"/>
    <col min="27" max="27" width="75.83203125" customWidth="1"/>
    <col min="28" max="28" width="12.1640625" customWidth="1"/>
    <col min="29" max="29" width="13.33203125" customWidth="1"/>
    <col min="30" max="30" width="16" customWidth="1"/>
    <col min="31" max="31" width="14.33203125" customWidth="1"/>
    <col min="32" max="32" width="25.6640625" customWidth="1"/>
    <col min="33" max="33" width="20.1640625" customWidth="1"/>
    <col min="34" max="34" width="73.83203125" customWidth="1"/>
    <col min="35" max="35" width="12.1640625" customWidth="1"/>
    <col min="37" max="37" width="16" customWidth="1"/>
    <col min="38" max="38" width="14.33203125" customWidth="1"/>
    <col min="39" max="39" width="25.6640625" customWidth="1"/>
    <col min="40" max="40" width="20" customWidth="1"/>
    <col min="41" max="41" width="29" customWidth="1"/>
    <col min="42" max="42" width="23.5" customWidth="1"/>
    <col min="43" max="43" width="20.33203125" customWidth="1"/>
    <col min="44" max="44" width="29.33203125" customWidth="1"/>
    <col min="45" max="45" width="23.6640625" customWidth="1"/>
    <col min="46" max="46" width="22.6640625" customWidth="1"/>
    <col min="47" max="47" width="31.6640625" customWidth="1"/>
    <col min="48" max="48" width="26.1640625" customWidth="1"/>
    <col min="49" max="49" width="16.83203125" customWidth="1"/>
    <col min="50" max="50" width="25.1640625" customWidth="1"/>
    <col min="51" max="51" width="46.5" customWidth="1"/>
    <col min="52" max="52" width="45.33203125" customWidth="1"/>
    <col min="53" max="53" width="16.83203125" customWidth="1"/>
    <col min="54" max="54" width="25.1640625" customWidth="1"/>
    <col min="55" max="55" width="45.6640625" customWidth="1"/>
    <col min="56" max="56" width="50.33203125" customWidth="1"/>
    <col min="57" max="57" width="53.5" customWidth="1"/>
    <col min="58" max="58" width="39.5" customWidth="1"/>
    <col min="59" max="59" width="23.5" customWidth="1"/>
    <col min="60" max="61" width="46.5" customWidth="1"/>
    <col min="62" max="62" width="201.1640625" customWidth="1"/>
    <col min="63" max="63" width="46.5" customWidth="1"/>
    <col min="64" max="64" width="9.1640625" customWidth="1"/>
    <col min="65" max="66" width="14.33203125" customWidth="1"/>
  </cols>
  <sheetData>
    <row r="1" spans="1:66" ht="13.5" customHeight="1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2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4" t="s">
        <v>31</v>
      </c>
      <c r="AG1" s="5" t="s">
        <v>32</v>
      </c>
      <c r="AH1" s="6" t="s">
        <v>33</v>
      </c>
      <c r="AI1" s="5" t="s">
        <v>34</v>
      </c>
      <c r="AJ1" s="2" t="s">
        <v>35</v>
      </c>
      <c r="AK1" s="2" t="s">
        <v>36</v>
      </c>
      <c r="AL1" s="2" t="s">
        <v>37</v>
      </c>
      <c r="AM1" s="7" t="s">
        <v>38</v>
      </c>
      <c r="AN1" s="8" t="s">
        <v>39</v>
      </c>
      <c r="AO1" s="8" t="s">
        <v>40</v>
      </c>
      <c r="AP1" s="9" t="s">
        <v>41</v>
      </c>
      <c r="AQ1" s="10" t="s">
        <v>42</v>
      </c>
      <c r="AR1" s="10" t="s">
        <v>43</v>
      </c>
      <c r="AS1" s="11" t="s">
        <v>44</v>
      </c>
      <c r="AT1" s="10" t="s">
        <v>45</v>
      </c>
      <c r="AU1" s="10" t="s">
        <v>46</v>
      </c>
      <c r="AV1" s="12" t="s">
        <v>47</v>
      </c>
      <c r="AW1" s="13" t="s">
        <v>48</v>
      </c>
      <c r="AX1" s="13" t="s">
        <v>49</v>
      </c>
      <c r="AY1" s="14" t="s">
        <v>50</v>
      </c>
      <c r="AZ1" s="15" t="s">
        <v>51</v>
      </c>
      <c r="BA1" s="16" t="s">
        <v>52</v>
      </c>
      <c r="BB1" s="16" t="s">
        <v>53</v>
      </c>
      <c r="BC1" s="17" t="s">
        <v>54</v>
      </c>
      <c r="BD1" s="18" t="s">
        <v>55</v>
      </c>
      <c r="BE1" s="18" t="s">
        <v>56</v>
      </c>
      <c r="BF1" s="19" t="s">
        <v>57</v>
      </c>
      <c r="BG1" s="19" t="s">
        <v>58</v>
      </c>
      <c r="BH1" s="14" t="s">
        <v>50</v>
      </c>
      <c r="BI1" s="14" t="s">
        <v>59</v>
      </c>
      <c r="BJ1" s="20" t="s">
        <v>60</v>
      </c>
      <c r="BK1" s="20" t="s">
        <v>61</v>
      </c>
      <c r="BL1" s="20" t="s">
        <v>62</v>
      </c>
      <c r="BM1" s="20" t="s">
        <v>63</v>
      </c>
      <c r="BN1" s="21" t="s">
        <v>64</v>
      </c>
    </row>
    <row r="2" spans="1:66" ht="13.5" customHeight="1" x14ac:dyDescent="0.2">
      <c r="A2" s="22"/>
      <c r="B2" s="23"/>
      <c r="C2" s="23"/>
      <c r="D2" s="24"/>
      <c r="E2" s="24"/>
      <c r="F2" s="24"/>
      <c r="G2" s="24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7"/>
      <c r="AN2" s="25"/>
      <c r="AO2" s="25"/>
      <c r="AP2" s="28"/>
      <c r="AQ2" s="25"/>
      <c r="AR2" s="25"/>
      <c r="AS2" s="28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9">
        <v>3.9100000000000003E-2</v>
      </c>
      <c r="BE2" s="29">
        <v>0.154</v>
      </c>
      <c r="BF2" s="25"/>
      <c r="BG2" s="25"/>
      <c r="BH2" s="25"/>
      <c r="BI2" s="25"/>
      <c r="BJ2" s="24"/>
      <c r="BK2" s="24"/>
      <c r="BL2" s="25"/>
      <c r="BM2" s="25"/>
      <c r="BN2" s="25"/>
    </row>
    <row r="3" spans="1:66" ht="13.5" customHeight="1" x14ac:dyDescent="0.2">
      <c r="A3" s="22"/>
      <c r="B3" s="30"/>
      <c r="AP3" s="31"/>
      <c r="AS3" s="31"/>
    </row>
    <row r="4" spans="1:66" ht="13.5" customHeight="1" x14ac:dyDescent="0.2">
      <c r="A4" s="33">
        <v>3</v>
      </c>
      <c r="B4" s="34" t="str">
        <f>E6</f>
        <v>LGA-1-1</v>
      </c>
      <c r="C4" s="35"/>
      <c r="D4" s="34"/>
      <c r="E4" s="34"/>
      <c r="F4" s="34"/>
      <c r="G4" s="35"/>
      <c r="H4" s="34"/>
      <c r="I4" s="34">
        <f>STDEV(H6:H8)/SQRT(COUNT(H6:H8))</f>
        <v>1.8559214542766933E-2</v>
      </c>
      <c r="J4" s="34"/>
      <c r="K4" s="34">
        <f>STDEV(J6:J8)/SQRT(COUNT(J6:J8))</f>
        <v>5.238744548500561E-2</v>
      </c>
      <c r="L4" s="34"/>
      <c r="M4" s="34">
        <f>STDEV(L6:L8)/SQRT(COUNT(L6:L8))</f>
        <v>5.238744548500561E-2</v>
      </c>
      <c r="N4" s="34"/>
      <c r="O4" s="34">
        <f>STDEV(N6:N8)/SQRT(COUNT(N6:N8))</f>
        <v>7.7825302940482052E-2</v>
      </c>
      <c r="P4" s="34"/>
      <c r="Q4" s="34">
        <f>STDEV(P6:P8)/SQRT(COUNT(P6:P8))</f>
        <v>1.156623438193166E-2</v>
      </c>
      <c r="R4" s="34"/>
      <c r="S4" s="34">
        <f>STDEV(R6:R8)/SQRT(COUNT(R6:R8))</f>
        <v>0.17367882235129739</v>
      </c>
      <c r="T4" s="34"/>
      <c r="U4" s="34">
        <f>STDEV(T6:T8)/SQRT(COUNT(T6:T8))</f>
        <v>7.23394774656273E-2</v>
      </c>
      <c r="V4" s="34"/>
      <c r="W4" s="34">
        <f>STDEV(V6:V8)/SQRT(COUNT(V6:V8))</f>
        <v>10.348710730220345</v>
      </c>
      <c r="X4" s="34"/>
      <c r="Y4" s="34">
        <f>STDEV(X6:X8)/SQRT(COUNT(X6:X8))</f>
        <v>9.9457430480471292</v>
      </c>
      <c r="Z4" s="34"/>
      <c r="AA4" s="36"/>
      <c r="AB4" s="34"/>
      <c r="AC4" s="34"/>
      <c r="AD4" s="34"/>
      <c r="AE4" s="34"/>
      <c r="AF4" s="34"/>
      <c r="AG4" s="34"/>
      <c r="AH4" s="35"/>
      <c r="AI4" s="34"/>
      <c r="AJ4" s="34"/>
      <c r="AK4" s="34"/>
      <c r="AL4" s="34"/>
      <c r="AM4" s="32"/>
      <c r="AN4" s="32"/>
      <c r="AO4" s="34">
        <f>AVERAGE(AN6:AN8)</f>
        <v>-5.0166666666666666</v>
      </c>
      <c r="AP4" s="37">
        <f>STDEV(AN6:AN8)</f>
        <v>2.8867513459481187E-2</v>
      </c>
      <c r="AQ4" s="32"/>
      <c r="AR4" s="34">
        <f>AVERAGE(AQ6:AQ8)</f>
        <v>2.1300000000000003</v>
      </c>
      <c r="AS4" s="37">
        <f>STDEV(AQ6:AQ8)</f>
        <v>0.10535653752852739</v>
      </c>
      <c r="AT4" s="32"/>
      <c r="AU4" s="34">
        <f>AVERAGE(AT6:AT8)</f>
        <v>33.116666666666667</v>
      </c>
      <c r="AV4" s="34">
        <f>STDEV(AT6:AT8)</f>
        <v>0.10503967504392528</v>
      </c>
      <c r="AW4" s="32"/>
      <c r="AX4" s="34">
        <f>AVERAGE(AW6:AW8)</f>
        <v>0.628</v>
      </c>
      <c r="AY4" s="34">
        <f>STDEV(AW6:AW8)</f>
        <v>2.1517434791350033E-2</v>
      </c>
      <c r="AZ4" s="34">
        <f>STDEV(AW6:AW8)/SQRT(COUNT(AW6:AW8))</f>
        <v>1.2423096769056161E-2</v>
      </c>
      <c r="BA4" s="32"/>
      <c r="BB4" s="34">
        <f>AVERAGE(BA6:BA8)</f>
        <v>0.20066666666666666</v>
      </c>
      <c r="BC4" s="34">
        <f>STDEV(BA6:BA8)/SQRT(COUNT(BA6:BA8))</f>
        <v>6.0798391791596323E-2</v>
      </c>
      <c r="BD4" s="32"/>
      <c r="BE4" s="32"/>
      <c r="BF4" s="32"/>
      <c r="BG4" s="34">
        <f>AVERAGE(BF6:BF8)</f>
        <v>14.208348798346909</v>
      </c>
      <c r="BH4" s="34">
        <f>STDEV(BF6:BF8)</f>
        <v>6.5441336327705217</v>
      </c>
      <c r="BI4" s="34">
        <f>STDEV(BF6:BF8)/SQRT(COUNT(BF6:BF8))</f>
        <v>3.7782573144929446</v>
      </c>
      <c r="BJ4" s="32"/>
      <c r="BK4" s="34">
        <f>AVERAGE(BJ6:BJ8)</f>
        <v>1.0315928893385664</v>
      </c>
      <c r="BL4" s="32"/>
      <c r="BM4" s="34">
        <f>AVERAGE(BL6:BL8)</f>
        <v>1.4783929538820455</v>
      </c>
      <c r="BN4" s="34">
        <f>STDEV(BL6:BL8)/SQRT(COUNT(BL6:BL8))</f>
        <v>0.78628906140122623</v>
      </c>
    </row>
    <row r="5" spans="1:66" ht="13.5" customHeight="1" x14ac:dyDescent="0.2">
      <c r="A5" s="22"/>
      <c r="B5" s="30" t="s">
        <v>66</v>
      </c>
      <c r="AN5" s="30">
        <v>-5.0199999999999996</v>
      </c>
      <c r="AP5" s="31"/>
      <c r="AQ5" s="30">
        <v>2.13</v>
      </c>
      <c r="AS5" s="31"/>
      <c r="AT5" s="30">
        <v>33.119999999999997</v>
      </c>
      <c r="AW5" s="30">
        <v>0.628</v>
      </c>
      <c r="BA5" s="30">
        <v>0.20100000000000001</v>
      </c>
    </row>
    <row r="6" spans="1:66" ht="13.5" customHeight="1" x14ac:dyDescent="0.2">
      <c r="A6" s="22"/>
      <c r="B6" s="30" t="s">
        <v>67</v>
      </c>
      <c r="C6" s="30" t="s">
        <v>68</v>
      </c>
      <c r="D6" s="30" t="s">
        <v>69</v>
      </c>
      <c r="E6" s="30" t="s">
        <v>65</v>
      </c>
      <c r="F6" s="30" t="s">
        <v>70</v>
      </c>
      <c r="G6" s="30" t="s">
        <v>71</v>
      </c>
      <c r="H6" s="30">
        <v>-5.09</v>
      </c>
      <c r="I6" s="30" t="s">
        <v>72</v>
      </c>
      <c r="J6" s="30">
        <v>10.029999999999999</v>
      </c>
      <c r="K6" s="30" t="s">
        <v>72</v>
      </c>
      <c r="L6" s="30">
        <v>41.26</v>
      </c>
      <c r="M6" s="30" t="s">
        <v>72</v>
      </c>
      <c r="N6" s="30">
        <v>14.377000000000001</v>
      </c>
      <c r="O6" s="30" t="s">
        <v>73</v>
      </c>
      <c r="P6" s="30">
        <v>-0.35499999999999998</v>
      </c>
      <c r="Q6" s="30" t="s">
        <v>74</v>
      </c>
      <c r="R6" s="30">
        <v>32.173000000000002</v>
      </c>
      <c r="S6" s="30" t="s">
        <v>75</v>
      </c>
      <c r="T6" s="30">
        <v>1.0999999999999999E-2</v>
      </c>
      <c r="U6" s="30" t="s">
        <v>76</v>
      </c>
      <c r="V6" s="30">
        <v>-159.345</v>
      </c>
      <c r="W6" s="30" t="s">
        <v>77</v>
      </c>
      <c r="X6" s="30">
        <v>-184.304</v>
      </c>
      <c r="Y6" s="30" t="s">
        <v>78</v>
      </c>
      <c r="Z6" s="30">
        <v>-7.8481966198426841E-3</v>
      </c>
      <c r="AA6" s="30" t="s">
        <v>79</v>
      </c>
      <c r="AB6" s="30">
        <v>-0.24299999999999999</v>
      </c>
      <c r="AC6" s="30">
        <v>1.1105678696611043</v>
      </c>
      <c r="AD6" s="30">
        <v>0.91831664672838409</v>
      </c>
      <c r="AE6" s="30">
        <v>0.64900000000000002</v>
      </c>
      <c r="AF6" s="30">
        <v>0</v>
      </c>
      <c r="AG6" s="30">
        <v>-7.8439169121269844E-3</v>
      </c>
      <c r="AH6" s="30" t="s">
        <v>80</v>
      </c>
      <c r="AI6" s="30">
        <v>0.26300000000000001</v>
      </c>
      <c r="AJ6" s="30">
        <v>1.1582615959907627</v>
      </c>
      <c r="AK6" s="30">
        <v>-3.0238679309064632E-2</v>
      </c>
      <c r="AL6" s="30">
        <v>0.27400000000000002</v>
      </c>
      <c r="AM6" s="30">
        <v>0</v>
      </c>
      <c r="AN6" s="30">
        <v>-5</v>
      </c>
      <c r="AP6" s="31"/>
      <c r="AQ6" s="30">
        <v>2.14</v>
      </c>
      <c r="AS6" s="31"/>
      <c r="AT6" s="30">
        <v>33.119999999999997</v>
      </c>
      <c r="AW6" s="30">
        <v>0.64900000000000002</v>
      </c>
      <c r="BA6" s="30">
        <v>0.27400000000000002</v>
      </c>
      <c r="BF6" s="30">
        <f>SQRT((BD2*(10^6))/(AW6-BE2))-273.15</f>
        <v>7.9014169861077335</v>
      </c>
      <c r="BJ6" s="30">
        <f t="shared" ref="BJ6:BJ8" si="0">IF(F6="Calcite",EXP((((18.03*10^3)/(BF6+273.15))-32.42)/1000),IF(F6="Aragonite",EXP((((17.88*10^3)/(BF6+273.15))-31.14)/1000),IF(F6="Dolomite",EXP((((18.02*10^3)/(BF6+273.15))-29.38)/1000),"")))</f>
        <v>1.0330114274421165</v>
      </c>
      <c r="BL6" s="30">
        <f t="shared" ref="BL6:BL8" si="1">((AT6+1000)/BJ6)-1000</f>
        <v>0.10510295917276835</v>
      </c>
    </row>
    <row r="7" spans="1:66" ht="13.5" customHeight="1" x14ac:dyDescent="0.2">
      <c r="A7" s="22"/>
      <c r="B7" s="30" t="s">
        <v>81</v>
      </c>
      <c r="C7" s="30" t="s">
        <v>82</v>
      </c>
      <c r="D7" s="30" t="s">
        <v>69</v>
      </c>
      <c r="E7" s="30" t="s">
        <v>65</v>
      </c>
      <c r="F7" s="30" t="s">
        <v>70</v>
      </c>
      <c r="G7" s="30" t="s">
        <v>71</v>
      </c>
      <c r="H7" s="30">
        <v>-5.0999999999999996</v>
      </c>
      <c r="I7" s="30" t="s">
        <v>72</v>
      </c>
      <c r="J7" s="30">
        <v>10.1</v>
      </c>
      <c r="K7" s="30" t="s">
        <v>72</v>
      </c>
      <c r="L7" s="30">
        <v>41.33</v>
      </c>
      <c r="M7" s="30" t="s">
        <v>72</v>
      </c>
      <c r="N7" s="30">
        <v>14.412000000000001</v>
      </c>
      <c r="O7" s="30" t="s">
        <v>73</v>
      </c>
      <c r="P7" s="30">
        <v>-0.377</v>
      </c>
      <c r="Q7" s="30" t="s">
        <v>73</v>
      </c>
      <c r="R7" s="30">
        <v>32.268000000000001</v>
      </c>
      <c r="S7" s="30" t="s">
        <v>83</v>
      </c>
      <c r="T7" s="30">
        <v>-3.6999999999999998E-2</v>
      </c>
      <c r="U7" s="30" t="s">
        <v>84</v>
      </c>
      <c r="V7" s="30">
        <v>-147.22499999999999</v>
      </c>
      <c r="W7" s="30" t="s">
        <v>85</v>
      </c>
      <c r="X7" s="30">
        <v>-172.64699999999999</v>
      </c>
      <c r="Y7" s="30" t="s">
        <v>86</v>
      </c>
      <c r="Z7" s="30">
        <v>-7.7435451985913076E-3</v>
      </c>
      <c r="AA7" s="30" t="s">
        <v>87</v>
      </c>
      <c r="AB7" s="30">
        <v>-0.26600000000000001</v>
      </c>
      <c r="AC7" s="30">
        <v>1.1371340973462363</v>
      </c>
      <c r="AD7" s="30">
        <v>0.93144142166509747</v>
      </c>
      <c r="AE7" s="30">
        <v>0.629</v>
      </c>
      <c r="AF7" s="30">
        <v>0</v>
      </c>
      <c r="AG7" s="30">
        <v>-8.0710090578515348E-3</v>
      </c>
      <c r="AH7" s="30" t="s">
        <v>88</v>
      </c>
      <c r="AI7" s="30">
        <v>0.223</v>
      </c>
      <c r="AJ7" s="30">
        <v>0.5638085973567265</v>
      </c>
      <c r="AK7" s="30">
        <v>0.12260898973234675</v>
      </c>
      <c r="AL7" s="30">
        <v>0.248</v>
      </c>
      <c r="AM7" s="30">
        <v>0</v>
      </c>
      <c r="AN7" s="30">
        <v>-5</v>
      </c>
      <c r="AP7" s="31"/>
      <c r="AQ7" s="30">
        <v>2.23</v>
      </c>
      <c r="AS7" s="31"/>
      <c r="AT7" s="30">
        <v>33.22</v>
      </c>
      <c r="AW7" s="30">
        <v>0.629</v>
      </c>
      <c r="BA7" s="30">
        <v>0.248</v>
      </c>
      <c r="BF7" s="30">
        <f>SQRT((BD2*(10^6))/(AW7-BE2))-273.15</f>
        <v>13.757283758506617</v>
      </c>
      <c r="BJ7" s="30">
        <f t="shared" si="0"/>
        <v>1.0316709653204523</v>
      </c>
      <c r="BL7" s="30">
        <f t="shared" si="1"/>
        <v>1.5014813168329511</v>
      </c>
    </row>
    <row r="8" spans="1:66" ht="13.5" customHeight="1" x14ac:dyDescent="0.2">
      <c r="A8" s="22"/>
      <c r="B8" s="30" t="s">
        <v>89</v>
      </c>
      <c r="C8" s="30" t="s">
        <v>90</v>
      </c>
      <c r="D8" s="30" t="s">
        <v>69</v>
      </c>
      <c r="E8" s="30" t="s">
        <v>65</v>
      </c>
      <c r="F8" s="30" t="s">
        <v>70</v>
      </c>
      <c r="G8" s="30" t="s">
        <v>71</v>
      </c>
      <c r="H8" s="30">
        <v>-5.15</v>
      </c>
      <c r="I8" s="30" t="s">
        <v>72</v>
      </c>
      <c r="J8" s="30">
        <v>9.92</v>
      </c>
      <c r="K8" s="30" t="s">
        <v>72</v>
      </c>
      <c r="L8" s="30">
        <v>41.15</v>
      </c>
      <c r="M8" s="30" t="s">
        <v>72</v>
      </c>
      <c r="N8" s="30">
        <v>14.163</v>
      </c>
      <c r="O8" s="30" t="s">
        <v>91</v>
      </c>
      <c r="P8" s="30">
        <v>-0.39500000000000002</v>
      </c>
      <c r="Q8" s="30" t="s">
        <v>92</v>
      </c>
      <c r="R8" s="30">
        <v>31.706</v>
      </c>
      <c r="S8" s="30" t="s">
        <v>76</v>
      </c>
      <c r="T8" s="30">
        <v>-0.22600000000000001</v>
      </c>
      <c r="U8" s="30" t="s">
        <v>93</v>
      </c>
      <c r="V8" s="30">
        <v>-182.50299999999999</v>
      </c>
      <c r="W8" s="30" t="s">
        <v>94</v>
      </c>
      <c r="X8" s="30">
        <v>-206.553</v>
      </c>
      <c r="Y8" s="30" t="s">
        <v>95</v>
      </c>
      <c r="Z8" s="30">
        <v>-7.7129098664878029E-3</v>
      </c>
      <c r="AA8" s="30" t="s">
        <v>96</v>
      </c>
      <c r="AB8" s="30">
        <v>-0.28499999999999998</v>
      </c>
      <c r="AC8" s="30">
        <v>1.1345649818690406</v>
      </c>
      <c r="AD8" s="30">
        <v>0.9293570357503671</v>
      </c>
      <c r="AE8" s="30">
        <v>0.60599999999999998</v>
      </c>
      <c r="AF8" s="30">
        <v>0</v>
      </c>
      <c r="AG8" s="30">
        <v>-7.8287865498450522E-3</v>
      </c>
      <c r="AH8" s="30" t="s">
        <v>97</v>
      </c>
      <c r="AI8" s="30">
        <v>2.1999999999999999E-2</v>
      </c>
      <c r="AJ8" s="30">
        <v>0.90219421860945559</v>
      </c>
      <c r="AK8" s="30">
        <v>5.9727227424654611E-2</v>
      </c>
      <c r="AL8" s="30">
        <v>0.08</v>
      </c>
      <c r="AM8" s="30">
        <v>0</v>
      </c>
      <c r="AN8" s="30">
        <v>-5.05</v>
      </c>
      <c r="AP8" s="31"/>
      <c r="AQ8" s="30">
        <v>2.02</v>
      </c>
      <c r="AS8" s="31"/>
      <c r="AT8" s="30">
        <v>33.01</v>
      </c>
      <c r="AW8" s="30">
        <v>0.60599999999999998</v>
      </c>
      <c r="BA8" s="30">
        <v>0.08</v>
      </c>
      <c r="BF8" s="30">
        <f>SQRT((BD2*(10^6))/(AW8-BE2))-273.15</f>
        <v>20.966345650426376</v>
      </c>
      <c r="BJ8" s="30">
        <f t="shared" si="0"/>
        <v>1.0300962752531306</v>
      </c>
      <c r="BL8" s="30">
        <f t="shared" si="1"/>
        <v>2.8285945856404169</v>
      </c>
    </row>
    <row r="9" spans="1:66" ht="13.5" customHeight="1" x14ac:dyDescent="0.2">
      <c r="A9" s="22"/>
      <c r="AP9" s="31"/>
      <c r="AS9" s="31"/>
    </row>
    <row r="10" spans="1:66" ht="13.5" customHeight="1" x14ac:dyDescent="0.2">
      <c r="A10" s="33">
        <v>3</v>
      </c>
      <c r="B10" s="34" t="str">
        <f>E12</f>
        <v>LGA-1-10</v>
      </c>
      <c r="C10" s="32"/>
      <c r="D10" s="32"/>
      <c r="E10" s="32"/>
      <c r="F10" s="32"/>
      <c r="G10" s="32"/>
      <c r="H10" s="32"/>
      <c r="I10" s="34">
        <f>STDEV(H12:H14)/SQRT(COUNT(H12:H14))</f>
        <v>3.9299420408505266E-2</v>
      </c>
      <c r="J10" s="32"/>
      <c r="K10" s="34">
        <f>STDEV(J12:J14)/SQRT(COUNT(J12:J14))</f>
        <v>0.11000000000000003</v>
      </c>
      <c r="L10" s="32"/>
      <c r="M10" s="34">
        <f>STDEV(L12:L14)/SQRT(COUNT(L12:L14))</f>
        <v>0.11503622617825011</v>
      </c>
      <c r="N10" s="32"/>
      <c r="O10" s="34">
        <f>STDEV(N12:N14)/SQRT(COUNT(N12:N14))</f>
        <v>0.14733333333333343</v>
      </c>
      <c r="P10" s="32"/>
      <c r="Q10" s="34">
        <f>STDEV(P12:P14)/SQRT(COUNT(P12:P14))</f>
        <v>7.5498344352707388E-3</v>
      </c>
      <c r="R10" s="32"/>
      <c r="S10" s="34">
        <f>STDEV(R12:R14)/SQRT(COUNT(R12:R14))</f>
        <v>0.18526737435393248</v>
      </c>
      <c r="T10" s="32"/>
      <c r="U10" s="34">
        <f>STDEV(T12:T14)/SQRT(COUNT(T12:T14))</f>
        <v>5.7361427225386695E-2</v>
      </c>
      <c r="V10" s="32"/>
      <c r="W10" s="34">
        <f>STDEV(V12:V14)/SQRT(COUNT(V12:V14))</f>
        <v>8.2796178051888347</v>
      </c>
      <c r="X10" s="32"/>
      <c r="Y10" s="34">
        <f>STDEV(X12:X14)/SQRT(COUNT(X12:X14))</f>
        <v>7.9331602992334256</v>
      </c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4">
        <f>AVERAGE(AN12:AN14)</f>
        <v>-5.38</v>
      </c>
      <c r="AP10" s="37">
        <f>STDEV(AN12:AN14)</f>
        <v>6.0827625302982434E-2</v>
      </c>
      <c r="AQ10" s="32"/>
      <c r="AR10" s="34">
        <f>AVERAGE(AQ12:AQ14)</f>
        <v>1.7633333333333334</v>
      </c>
      <c r="AS10" s="37">
        <f>STDEV(AQ12:AQ14)</f>
        <v>0.18502252115170553</v>
      </c>
      <c r="AT10" s="32"/>
      <c r="AU10" s="34">
        <f>AVERAGE(AT12:AT14)</f>
        <v>32.74</v>
      </c>
      <c r="AV10" s="34">
        <f>STDEV(AT12:AT14)</f>
        <v>0.19078784028338805</v>
      </c>
      <c r="AW10" s="32"/>
      <c r="AX10" s="34">
        <f>AVERAGE(AW12:AW14)</f>
        <v>0.65600000000000003</v>
      </c>
      <c r="AY10" s="34">
        <f>STDEV(AW12:AW14)</f>
        <v>1.5620499351813323E-2</v>
      </c>
      <c r="AZ10" s="34">
        <f>STDEV(AW12:AW14)/SQRT(COUNT(AW12:AW14))</f>
        <v>9.0184995056457971E-3</v>
      </c>
      <c r="BA10" s="32"/>
      <c r="BB10" s="34">
        <f>AVERAGE(BA12:BA14)</f>
        <v>0.22466666666666668</v>
      </c>
      <c r="BC10" s="34">
        <f>STDEV(BA12:BA14)/SQRT(COUNT(BA12:BA14))</f>
        <v>4.3414027430978663E-2</v>
      </c>
      <c r="BD10" s="32"/>
      <c r="BE10" s="32"/>
      <c r="BF10" s="32"/>
      <c r="BG10" s="34">
        <f>AVERAGE(BF12:BF14)</f>
        <v>6.0036130769652418</v>
      </c>
      <c r="BH10" s="34">
        <f>STDEV(BF12:BF14)</f>
        <v>4.4022182951784776</v>
      </c>
      <c r="BI10" s="34">
        <f>STDEV(BF12:BF14)/SQRT(COUNT(BF12:BF14))</f>
        <v>2.5416219177527895</v>
      </c>
      <c r="BJ10" s="32"/>
      <c r="BK10" s="34">
        <f>AVERAGE(BJ12:BJ14)</f>
        <v>1.03346952960706</v>
      </c>
      <c r="BL10" s="32"/>
      <c r="BM10" s="34">
        <f>AVERAGE(BL12:BL14)</f>
        <v>-0.70517267635788505</v>
      </c>
      <c r="BN10" s="34">
        <f>STDEV(BL12:BL14)/SQRT(COUNT(BL12:BL14))</f>
        <v>0.63875729450771523</v>
      </c>
    </row>
    <row r="11" spans="1:66" ht="13.5" customHeight="1" x14ac:dyDescent="0.2">
      <c r="A11" s="22"/>
      <c r="B11" s="30" t="s">
        <v>99</v>
      </c>
      <c r="AN11" s="30">
        <v>-5.38</v>
      </c>
      <c r="AP11" s="31"/>
      <c r="AQ11" s="30">
        <v>1.76</v>
      </c>
      <c r="AS11" s="31"/>
      <c r="AT11" s="30">
        <v>32.74</v>
      </c>
      <c r="AW11" s="30">
        <v>0.65600000000000003</v>
      </c>
      <c r="BA11" s="30">
        <v>0.22500000000000001</v>
      </c>
    </row>
    <row r="12" spans="1:66" ht="13.5" customHeight="1" x14ac:dyDescent="0.2">
      <c r="A12" s="22"/>
      <c r="B12" s="30" t="s">
        <v>67</v>
      </c>
      <c r="C12" s="30" t="s">
        <v>100</v>
      </c>
      <c r="D12" s="30" t="s">
        <v>69</v>
      </c>
      <c r="E12" s="30" t="s">
        <v>98</v>
      </c>
      <c r="F12" s="30" t="s">
        <v>70</v>
      </c>
      <c r="G12" s="30" t="s">
        <v>71</v>
      </c>
      <c r="H12" s="30">
        <v>-5.41</v>
      </c>
      <c r="I12" s="30" t="s">
        <v>72</v>
      </c>
      <c r="J12" s="30">
        <v>9.77</v>
      </c>
      <c r="K12" s="30" t="s">
        <v>72</v>
      </c>
      <c r="L12" s="30">
        <v>40.99</v>
      </c>
      <c r="M12" s="30" t="s">
        <v>72</v>
      </c>
      <c r="N12" s="30">
        <v>13.782</v>
      </c>
      <c r="O12" s="30" t="s">
        <v>101</v>
      </c>
      <c r="P12" s="30">
        <v>-0.36099999999999999</v>
      </c>
      <c r="Q12" s="30" t="s">
        <v>101</v>
      </c>
      <c r="R12" s="30">
        <v>31.606000000000002</v>
      </c>
      <c r="S12" s="30" t="s">
        <v>102</v>
      </c>
      <c r="T12" s="30">
        <v>-2.3E-2</v>
      </c>
      <c r="U12" s="30" t="s">
        <v>75</v>
      </c>
      <c r="V12" s="30">
        <v>-147.56100000000001</v>
      </c>
      <c r="W12" s="30" t="s">
        <v>103</v>
      </c>
      <c r="X12" s="30">
        <v>-172.17099999999999</v>
      </c>
      <c r="Y12" s="30" t="s">
        <v>104</v>
      </c>
      <c r="Z12" s="30">
        <v>-7.8600323326205694E-3</v>
      </c>
      <c r="AA12" s="30" t="s">
        <v>105</v>
      </c>
      <c r="AB12" s="30">
        <v>-0.253</v>
      </c>
      <c r="AC12" s="30">
        <v>1.115390791865166</v>
      </c>
      <c r="AD12" s="30">
        <v>0.92021636980969346</v>
      </c>
      <c r="AE12" s="30">
        <v>0.63800000000000001</v>
      </c>
      <c r="AF12" s="30">
        <v>0</v>
      </c>
      <c r="AG12" s="30">
        <v>-8.1835608084490485E-3</v>
      </c>
      <c r="AH12" s="30" t="s">
        <v>106</v>
      </c>
      <c r="AI12" s="30">
        <v>0.23499999999999999</v>
      </c>
      <c r="AJ12" s="30">
        <v>1.1582615959907543</v>
      </c>
      <c r="AK12" s="30">
        <v>-3.0238679309062565E-2</v>
      </c>
      <c r="AL12" s="30">
        <v>0.24299999999999999</v>
      </c>
      <c r="AM12" s="30">
        <v>0</v>
      </c>
      <c r="AN12" s="30">
        <v>-5.34</v>
      </c>
      <c r="AP12" s="31"/>
      <c r="AQ12" s="30">
        <v>1.86</v>
      </c>
      <c r="AS12" s="31"/>
      <c r="AT12" s="30">
        <v>32.840000000000003</v>
      </c>
      <c r="AW12" s="30">
        <v>0.63800000000000001</v>
      </c>
      <c r="BA12" s="30">
        <v>0.24299999999999999</v>
      </c>
      <c r="BF12" s="30">
        <f>SQRT((BD2*(10^6))/(AW12-BE2))-273.15</f>
        <v>11.077240015699715</v>
      </c>
      <c r="BJ12" s="30">
        <f t="shared" ref="BJ12:BJ14" si="2">IF(F12="Calcite",EXP((((18.03*10^3)/(BF12+273.15))-32.42)/1000),IF(F12="Aragonite",EXP((((17.88*10^3)/(BF12+273.15))-31.14)/1000),IF(F12="Dolomite",EXP((((18.02*10^3)/(BF12+273.15))-29.38)/1000),"")))</f>
        <v>1.0322773817252791</v>
      </c>
      <c r="BL12" s="30">
        <f t="shared" ref="BL12:BL14" si="3">((AT12+1000)/BJ12)-1000</f>
        <v>0.54502625426175655</v>
      </c>
    </row>
    <row r="13" spans="1:66" ht="13.5" customHeight="1" x14ac:dyDescent="0.2">
      <c r="A13" s="22"/>
      <c r="B13" s="30" t="s">
        <v>81</v>
      </c>
      <c r="C13" s="30" t="s">
        <v>107</v>
      </c>
      <c r="D13" s="30" t="s">
        <v>69</v>
      </c>
      <c r="E13" s="30" t="s">
        <v>98</v>
      </c>
      <c r="F13" s="30" t="s">
        <v>70</v>
      </c>
      <c r="G13" s="30" t="s">
        <v>71</v>
      </c>
      <c r="H13" s="30">
        <v>-5.54</v>
      </c>
      <c r="I13" s="30" t="s">
        <v>72</v>
      </c>
      <c r="J13" s="30">
        <v>9.44</v>
      </c>
      <c r="K13" s="30" t="s">
        <v>72</v>
      </c>
      <c r="L13" s="30">
        <v>40.65</v>
      </c>
      <c r="M13" s="30" t="s">
        <v>72</v>
      </c>
      <c r="N13" s="30">
        <v>13.34</v>
      </c>
      <c r="O13" s="30" t="s">
        <v>74</v>
      </c>
      <c r="P13" s="30">
        <v>-0.33700000000000002</v>
      </c>
      <c r="Q13" s="30" t="s">
        <v>108</v>
      </c>
      <c r="R13" s="30">
        <v>31</v>
      </c>
      <c r="S13" s="30" t="s">
        <v>109</v>
      </c>
      <c r="T13" s="30">
        <v>5.2999999999999999E-2</v>
      </c>
      <c r="U13" s="30" t="s">
        <v>110</v>
      </c>
      <c r="V13" s="30">
        <v>-172.476</v>
      </c>
      <c r="W13" s="30" t="s">
        <v>111</v>
      </c>
      <c r="X13" s="30">
        <v>-195.732</v>
      </c>
      <c r="Y13" s="30" t="s">
        <v>112</v>
      </c>
      <c r="Z13" s="30">
        <v>-7.7377938173666715E-3</v>
      </c>
      <c r="AA13" s="30" t="s">
        <v>113</v>
      </c>
      <c r="AB13" s="30">
        <v>-0.23400000000000001</v>
      </c>
      <c r="AC13" s="30">
        <v>1.1372220844240986</v>
      </c>
      <c r="AD13" s="30">
        <v>0.9315208479095286</v>
      </c>
      <c r="AE13" s="30">
        <v>0.66600000000000004</v>
      </c>
      <c r="AF13" s="30">
        <v>0</v>
      </c>
      <c r="AG13" s="30">
        <v>-7.9097486257935622E-3</v>
      </c>
      <c r="AH13" s="30" t="s">
        <v>114</v>
      </c>
      <c r="AI13" s="30">
        <v>0.29799999999999999</v>
      </c>
      <c r="AJ13" s="30">
        <v>0.54510530887562714</v>
      </c>
      <c r="AK13" s="30">
        <v>0.12652833496087282</v>
      </c>
      <c r="AL13" s="30">
        <v>0.28899999999999998</v>
      </c>
      <c r="AM13" s="30">
        <v>0</v>
      </c>
      <c r="AN13" s="30">
        <v>-5.45</v>
      </c>
      <c r="AP13" s="31"/>
      <c r="AQ13" s="30">
        <v>1.55</v>
      </c>
      <c r="AS13" s="31"/>
      <c r="AT13" s="30">
        <v>32.520000000000003</v>
      </c>
      <c r="AW13" s="30">
        <v>0.66600000000000004</v>
      </c>
      <c r="BA13" s="30">
        <v>0.28899999999999998</v>
      </c>
      <c r="BF13" s="30">
        <f>SQRT((BD2*(10^6))/(AW13-BE2))-273.15</f>
        <v>3.1961371179268099</v>
      </c>
      <c r="BJ13" s="30">
        <f t="shared" si="2"/>
        <v>1.0341310049396069</v>
      </c>
      <c r="BL13" s="30">
        <f t="shared" si="3"/>
        <v>-1.5578344831668574</v>
      </c>
    </row>
    <row r="14" spans="1:66" ht="13.5" customHeight="1" x14ac:dyDescent="0.2">
      <c r="A14" s="22"/>
      <c r="B14" s="30" t="s">
        <v>89</v>
      </c>
      <c r="C14" s="30" t="s">
        <v>115</v>
      </c>
      <c r="D14" s="30" t="s">
        <v>69</v>
      </c>
      <c r="E14" s="30" t="s">
        <v>98</v>
      </c>
      <c r="F14" s="30" t="s">
        <v>70</v>
      </c>
      <c r="G14" s="30" t="s">
        <v>71</v>
      </c>
      <c r="H14" s="30">
        <v>-5.44</v>
      </c>
      <c r="I14" s="30" t="s">
        <v>72</v>
      </c>
      <c r="J14" s="30">
        <v>9.77</v>
      </c>
      <c r="K14" s="30" t="s">
        <v>72</v>
      </c>
      <c r="L14" s="30">
        <v>41</v>
      </c>
      <c r="M14" s="30" t="s">
        <v>72</v>
      </c>
      <c r="N14" s="30">
        <v>13.782</v>
      </c>
      <c r="O14" s="30" t="s">
        <v>74</v>
      </c>
      <c r="P14" s="30">
        <v>-0.34</v>
      </c>
      <c r="Q14" s="30" t="s">
        <v>74</v>
      </c>
      <c r="R14" s="30">
        <v>31.486000000000001</v>
      </c>
      <c r="S14" s="30" t="s">
        <v>83</v>
      </c>
      <c r="T14" s="30">
        <v>-0.14399999999999999</v>
      </c>
      <c r="U14" s="30" t="s">
        <v>84</v>
      </c>
      <c r="V14" s="30">
        <v>-172.32300000000001</v>
      </c>
      <c r="W14" s="30" t="s">
        <v>116</v>
      </c>
      <c r="X14" s="30">
        <v>-196.202</v>
      </c>
      <c r="Y14" s="30" t="s">
        <v>117</v>
      </c>
      <c r="Z14" s="30">
        <v>-7.7203916243908767E-3</v>
      </c>
      <c r="AA14" s="30" t="s">
        <v>118</v>
      </c>
      <c r="AB14" s="30">
        <v>-0.23400000000000001</v>
      </c>
      <c r="AC14" s="30">
        <v>1.1238429252521662</v>
      </c>
      <c r="AD14" s="30">
        <v>0.92669655809476614</v>
      </c>
      <c r="AE14" s="30">
        <v>0.66400000000000003</v>
      </c>
      <c r="AF14" s="30">
        <v>0</v>
      </c>
      <c r="AG14" s="30">
        <v>-7.4919770788327541E-3</v>
      </c>
      <c r="AH14" s="30" t="s">
        <v>119</v>
      </c>
      <c r="AI14" s="30">
        <v>9.1999999999999998E-2</v>
      </c>
      <c r="AJ14" s="30">
        <v>0.90219421860945703</v>
      </c>
      <c r="AK14" s="30">
        <v>5.9727227424654306E-2</v>
      </c>
      <c r="AL14" s="30">
        <v>0.14199999999999999</v>
      </c>
      <c r="AM14" s="30">
        <v>0</v>
      </c>
      <c r="AN14" s="30">
        <v>-5.35</v>
      </c>
      <c r="AP14" s="31"/>
      <c r="AQ14" s="30">
        <v>1.88</v>
      </c>
      <c r="AS14" s="31"/>
      <c r="AT14" s="30">
        <v>32.86</v>
      </c>
      <c r="AW14" s="30">
        <v>0.66400000000000003</v>
      </c>
      <c r="BA14" s="30">
        <v>0.14199999999999999</v>
      </c>
      <c r="BF14" s="30">
        <f>SQRT((BD2*(10^6))/(AW14-BE2))-273.15</f>
        <v>3.7374620972692014</v>
      </c>
      <c r="BJ14" s="30">
        <f t="shared" si="2"/>
        <v>1.034000202156294</v>
      </c>
      <c r="BL14" s="30">
        <f t="shared" si="3"/>
        <v>-1.1027098001685545</v>
      </c>
    </row>
    <row r="15" spans="1:66" ht="13.5" customHeight="1" x14ac:dyDescent="0.2">
      <c r="A15" s="22"/>
      <c r="AP15" s="31"/>
      <c r="AS15" s="31"/>
    </row>
    <row r="16" spans="1:66" ht="13.5" customHeight="1" x14ac:dyDescent="0.2">
      <c r="A16" s="33">
        <v>3</v>
      </c>
      <c r="B16" s="34" t="str">
        <f>E18</f>
        <v>LGA-1-11</v>
      </c>
      <c r="C16" s="32"/>
      <c r="D16" s="32"/>
      <c r="E16" s="32"/>
      <c r="F16" s="32"/>
      <c r="G16" s="32"/>
      <c r="H16" s="32"/>
      <c r="I16" s="34">
        <f>STDEV(H18:H19)/SQRT(COUNT(H18:H19))</f>
        <v>0</v>
      </c>
      <c r="J16" s="32"/>
      <c r="K16" s="34">
        <f>STDEV(J18:J19)/SQRT(COUNT(J18:J19))</f>
        <v>5.4999999999999716E-2</v>
      </c>
      <c r="L16" s="32"/>
      <c r="M16" s="34">
        <f>STDEV(L18:L19)/SQRT(COUNT(L18:L19))</f>
        <v>5.9999999999998714E-2</v>
      </c>
      <c r="N16" s="32"/>
      <c r="O16" s="34">
        <f>STDEV(N18:N19)/SQRT(COUNT(N18:N19))</f>
        <v>3.6500000000000199E-2</v>
      </c>
      <c r="P16" s="32"/>
      <c r="Q16" s="34">
        <f>STDEV(P18:P19)/SQRT(COUNT(P18:P19))</f>
        <v>2.0999999999999991E-2</v>
      </c>
      <c r="R16" s="32"/>
      <c r="S16" s="34">
        <f>STDEV(R18:R19)/SQRT(COUNT(R18:R19))</f>
        <v>5.5499999999998544E-2</v>
      </c>
      <c r="T16" s="32"/>
      <c r="U16" s="34">
        <f>STDEV(T18:T19)/SQRT(COUNT(T18:T19))</f>
        <v>5.899999999999999E-2</v>
      </c>
      <c r="V16" s="32"/>
      <c r="W16" s="34">
        <f>STDEV(V18:V19)/SQRT(COUNT(V18:V19))</f>
        <v>12.724000000000002</v>
      </c>
      <c r="X16" s="32"/>
      <c r="Y16" s="34">
        <f>STDEV(X18:X19)/SQRT(COUNT(X18:X19))</f>
        <v>12.47149999999999</v>
      </c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4">
        <f>AVERAGE(AN18:AN19)</f>
        <v>-6.4399999999999995</v>
      </c>
      <c r="AP16" s="37">
        <f>STDEV(AN18:AN19)</f>
        <v>1.4142135623731277E-2</v>
      </c>
      <c r="AQ16" s="32"/>
      <c r="AR16" s="34">
        <f>AVERAGE(AQ18:AQ19)</f>
        <v>1.575</v>
      </c>
      <c r="AS16" s="37">
        <f>STDEV(AQ18:AQ19)</f>
        <v>7.7781745930520133E-2</v>
      </c>
      <c r="AT16" s="32"/>
      <c r="AU16" s="34">
        <f>AVERAGE(AT18:AT19)</f>
        <v>32.545000000000002</v>
      </c>
      <c r="AV16" s="34">
        <f>STDEV(AT18:AT19)</f>
        <v>7.7781745930519827E-2</v>
      </c>
      <c r="AW16" s="32"/>
      <c r="AX16" s="34">
        <f>AVERAGE(AW18,AW19)</f>
        <v>0.64549999999999996</v>
      </c>
      <c r="AY16" s="34">
        <f>STDEV(AW18,AW19)</f>
        <v>3.7476659402887053E-2</v>
      </c>
      <c r="AZ16" s="34">
        <f>STDEV(AW18:AW19)/SQRT(COUNT(AW18:AW19))</f>
        <v>2.6500000000000024E-2</v>
      </c>
      <c r="BA16" s="32"/>
      <c r="BB16" s="34">
        <f>AVERAGE(BA18:BA19)</f>
        <v>0.20050000000000001</v>
      </c>
      <c r="BC16" s="34">
        <f>STDEV(BA18:BA19)/SQRT(COUNT(BA18:BA19))</f>
        <v>4.4499999999999866E-2</v>
      </c>
      <c r="BD16" s="32"/>
      <c r="BE16" s="32"/>
      <c r="BF16" s="32"/>
      <c r="BG16" s="34">
        <f>AVERAGE(BF18,BF19)</f>
        <v>9.2084567178663406</v>
      </c>
      <c r="BH16" s="34">
        <f>STDEV(BF18,BF19)</f>
        <v>10.772688977754246</v>
      </c>
      <c r="BI16" s="34">
        <f>STDEV(BF18,BF19)/SQRT(COUNT(BF18,BF19))</f>
        <v>7.6174414277836036</v>
      </c>
      <c r="BJ16" s="32"/>
      <c r="BK16" s="34">
        <f>AVERAGE(BJ18:BJ19)</f>
        <v>1.0327564011683381</v>
      </c>
      <c r="BL16" s="32"/>
      <c r="BM16" s="34">
        <f>AVERAGE(BL18:BL19)</f>
        <v>-0.20168292414962252</v>
      </c>
      <c r="BN16" s="34">
        <f>STDEV(BL18:BL19)/SQRT(COUNT(BL18:BL19))</f>
        <v>1.7624961992607948</v>
      </c>
    </row>
    <row r="17" spans="1:66" ht="13.5" customHeight="1" x14ac:dyDescent="0.2">
      <c r="A17" s="22"/>
      <c r="B17" s="30" t="s">
        <v>121</v>
      </c>
      <c r="AN17" s="30">
        <v>-6.54</v>
      </c>
      <c r="AP17" s="31"/>
      <c r="AQ17" s="30">
        <v>1.34</v>
      </c>
      <c r="AS17" s="31"/>
      <c r="AT17" s="30">
        <v>32.299999999999997</v>
      </c>
      <c r="AW17" s="30">
        <v>0.65800000000000003</v>
      </c>
      <c r="BA17" s="30">
        <v>0.26400000000000001</v>
      </c>
    </row>
    <row r="18" spans="1:66" ht="13.5" customHeight="1" x14ac:dyDescent="0.2">
      <c r="A18" s="22"/>
      <c r="B18" s="30" t="s">
        <v>67</v>
      </c>
      <c r="C18" s="30" t="s">
        <v>122</v>
      </c>
      <c r="D18" s="30" t="s">
        <v>69</v>
      </c>
      <c r="E18" s="30" t="s">
        <v>120</v>
      </c>
      <c r="F18" s="30" t="s">
        <v>70</v>
      </c>
      <c r="G18" s="30" t="s">
        <v>71</v>
      </c>
      <c r="H18" s="30">
        <v>-6.52</v>
      </c>
      <c r="I18" s="30" t="s">
        <v>72</v>
      </c>
      <c r="J18" s="30">
        <v>9.43</v>
      </c>
      <c r="K18" s="30" t="s">
        <v>72</v>
      </c>
      <c r="L18" s="30">
        <v>40.64</v>
      </c>
      <c r="M18" s="30" t="s">
        <v>72</v>
      </c>
      <c r="N18" s="30">
        <v>12.385</v>
      </c>
      <c r="O18" s="30" t="s">
        <v>123</v>
      </c>
      <c r="P18" s="30">
        <v>-0.32200000000000001</v>
      </c>
      <c r="Q18" s="30" t="s">
        <v>123</v>
      </c>
      <c r="R18" s="30">
        <v>30.914000000000001</v>
      </c>
      <c r="S18" s="30" t="s">
        <v>124</v>
      </c>
      <c r="T18" s="30">
        <v>-1.4999999999999999E-2</v>
      </c>
      <c r="U18" s="30" t="s">
        <v>125</v>
      </c>
      <c r="V18" s="30">
        <v>-130.47399999999999</v>
      </c>
      <c r="W18" s="30" t="s">
        <v>126</v>
      </c>
      <c r="X18" s="30">
        <v>-154.066</v>
      </c>
      <c r="Y18" s="30" t="s">
        <v>127</v>
      </c>
      <c r="Z18" s="30">
        <v>-7.7484662397789188E-3</v>
      </c>
      <c r="AA18" s="30" t="s">
        <v>128</v>
      </c>
      <c r="AB18" s="30">
        <v>-0.22600000000000001</v>
      </c>
      <c r="AC18" s="30">
        <v>1.121892389144713</v>
      </c>
      <c r="AD18" s="30">
        <v>0.92586223398154066</v>
      </c>
      <c r="AE18" s="30">
        <v>0.67200000000000004</v>
      </c>
      <c r="AF18" s="30">
        <v>0</v>
      </c>
      <c r="AG18" s="30">
        <v>-8.1835608084490485E-3</v>
      </c>
      <c r="AH18" s="30" t="s">
        <v>129</v>
      </c>
      <c r="AI18" s="30">
        <v>0.23799999999999999</v>
      </c>
      <c r="AJ18" s="30">
        <v>1.0811202253492234</v>
      </c>
      <c r="AK18" s="30">
        <v>-1.2190083376635756E-2</v>
      </c>
      <c r="AL18" s="30">
        <v>0.245</v>
      </c>
      <c r="AM18" s="30">
        <v>0</v>
      </c>
      <c r="AN18" s="30">
        <v>-6.45</v>
      </c>
      <c r="AP18" s="31"/>
      <c r="AQ18" s="30">
        <v>1.52</v>
      </c>
      <c r="AS18" s="31"/>
      <c r="AT18" s="30">
        <v>32.49</v>
      </c>
      <c r="AW18" s="30">
        <v>0.67200000000000004</v>
      </c>
      <c r="BA18" s="30">
        <v>0.245</v>
      </c>
      <c r="BF18" s="30">
        <f>SQRT((BD2*(10^6))/(AW18-BE2))-273.15</f>
        <v>1.591015290082737</v>
      </c>
      <c r="BJ18" s="30">
        <f t="shared" ref="BJ18:BJ19" si="4">IF(F18="Calcite",EXP((((18.03*10^3)/(BF18+273.15))-32.42)/1000),IF(F18="Aragonite",EXP((((17.88*10^3)/(BF18+273.15))-31.14)/1000),IF(F18="Dolomite",EXP((((18.02*10^3)/(BF18+273.15))-29.38)/1000),"")))</f>
        <v>1.03452198648857</v>
      </c>
      <c r="BL18" s="30">
        <f t="shared" ref="BL18:BL19" si="5">((AT18+1000)/BJ18)-1000</f>
        <v>-1.9641791234104176</v>
      </c>
    </row>
    <row r="19" spans="1:66" ht="13.5" customHeight="1" x14ac:dyDescent="0.2">
      <c r="A19" s="22"/>
      <c r="B19" s="30" t="s">
        <v>89</v>
      </c>
      <c r="C19" s="30" t="s">
        <v>131</v>
      </c>
      <c r="D19" s="30" t="s">
        <v>69</v>
      </c>
      <c r="E19" s="30" t="s">
        <v>120</v>
      </c>
      <c r="F19" s="30" t="s">
        <v>70</v>
      </c>
      <c r="G19" s="30" t="s">
        <v>71</v>
      </c>
      <c r="H19" s="30">
        <v>-6.52</v>
      </c>
      <c r="I19" s="30" t="s">
        <v>72</v>
      </c>
      <c r="J19" s="30">
        <v>9.5399999999999991</v>
      </c>
      <c r="K19" s="30" t="s">
        <v>72</v>
      </c>
      <c r="L19" s="30">
        <v>40.76</v>
      </c>
      <c r="M19" s="30" t="s">
        <v>72</v>
      </c>
      <c r="N19" s="30">
        <v>12.458</v>
      </c>
      <c r="O19" s="30" t="s">
        <v>92</v>
      </c>
      <c r="P19" s="30">
        <v>-0.36399999999999999</v>
      </c>
      <c r="Q19" s="30" t="s">
        <v>92</v>
      </c>
      <c r="R19" s="30">
        <v>31.024999999999999</v>
      </c>
      <c r="S19" s="30" t="s">
        <v>132</v>
      </c>
      <c r="T19" s="30">
        <v>-0.13300000000000001</v>
      </c>
      <c r="U19" s="30" t="s">
        <v>133</v>
      </c>
      <c r="V19" s="30">
        <v>-155.922</v>
      </c>
      <c r="W19" s="30" t="s">
        <v>134</v>
      </c>
      <c r="X19" s="30">
        <v>-179.00899999999999</v>
      </c>
      <c r="Y19" s="30" t="s">
        <v>135</v>
      </c>
      <c r="Z19" s="30">
        <v>-7.5639643685657598E-3</v>
      </c>
      <c r="AA19" s="30" t="s">
        <v>136</v>
      </c>
      <c r="AB19" s="30">
        <v>-0.27</v>
      </c>
      <c r="AC19" s="30">
        <v>1.1016700806414201</v>
      </c>
      <c r="AD19" s="30">
        <v>0.91621187529509285</v>
      </c>
      <c r="AE19" s="30">
        <v>0.61899999999999999</v>
      </c>
      <c r="AF19" s="30">
        <v>0</v>
      </c>
      <c r="AG19" s="30">
        <v>-7.0749643027664339E-3</v>
      </c>
      <c r="AH19" s="30" t="s">
        <v>137</v>
      </c>
      <c r="AI19" s="30">
        <v>8.6999999999999994E-2</v>
      </c>
      <c r="AJ19" s="30">
        <v>0.7403233683841921</v>
      </c>
      <c r="AK19" s="30">
        <v>9.2207461823783116E-2</v>
      </c>
      <c r="AL19" s="30">
        <v>0.156</v>
      </c>
      <c r="AM19" s="30">
        <v>0</v>
      </c>
      <c r="AN19" s="30">
        <v>-6.43</v>
      </c>
      <c r="AP19" s="31"/>
      <c r="AQ19" s="30">
        <v>1.63</v>
      </c>
      <c r="AS19" s="31"/>
      <c r="AT19" s="30">
        <v>32.6</v>
      </c>
      <c r="AW19" s="30">
        <v>0.61899999999999999</v>
      </c>
      <c r="BA19" s="30">
        <v>0.156</v>
      </c>
      <c r="BF19" s="30">
        <f>SQRT((BD2*(10^6))/(AW19-BE2))-273.15</f>
        <v>16.825898145649944</v>
      </c>
      <c r="BJ19" s="30">
        <f t="shared" si="4"/>
        <v>1.0309908158481065</v>
      </c>
      <c r="BL19" s="30">
        <f t="shared" si="5"/>
        <v>1.5608132751111725</v>
      </c>
    </row>
    <row r="20" spans="1:66" ht="13.5" customHeight="1" x14ac:dyDescent="0.2">
      <c r="A20" s="22"/>
      <c r="AP20" s="31"/>
      <c r="AS20" s="31"/>
    </row>
    <row r="21" spans="1:66" ht="13.5" customHeight="1" x14ac:dyDescent="0.2">
      <c r="A21" s="33">
        <v>3</v>
      </c>
      <c r="B21" s="34" t="str">
        <f>E23</f>
        <v>LGA-1-12</v>
      </c>
      <c r="C21" s="32"/>
      <c r="D21" s="32"/>
      <c r="E21" s="32"/>
      <c r="F21" s="32"/>
      <c r="G21" s="32"/>
      <c r="H21" s="32"/>
      <c r="I21" s="34">
        <f>STDEV(H23:H24)/SQRT(COUNT(H23:H24))</f>
        <v>4.9999999999999822E-2</v>
      </c>
      <c r="J21" s="32"/>
      <c r="K21" s="34">
        <f>STDEV(J23:J24)/SQRT(COUNT(J23:J24))</f>
        <v>2.9999999999999357E-2</v>
      </c>
      <c r="L21" s="32"/>
      <c r="M21" s="34">
        <f>STDEV(L23:L24)/SQRT(COUNT(L23:L24))</f>
        <v>3.5000000000000135E-2</v>
      </c>
      <c r="N21" s="32"/>
      <c r="O21" s="34">
        <f>STDEV(N23:N24)/SQRT(COUNT(N23:N24))</f>
        <v>1.550000000000029E-2</v>
      </c>
      <c r="P21" s="32"/>
      <c r="Q21" s="34">
        <f>STDEV(P23:P24)/SQRT(COUNT(P23:P24))</f>
        <v>2.0000000000000018E-3</v>
      </c>
      <c r="R21" s="32"/>
      <c r="S21" s="34">
        <f>STDEV(R23:R24)/SQRT(COUNT(R23:R24))</f>
        <v>0.15450000000000053</v>
      </c>
      <c r="T21" s="32"/>
      <c r="U21" s="34">
        <f>STDEV(T23:T24)/SQRT(COUNT(T23:T24))</f>
        <v>8.6999999999999994E-2</v>
      </c>
      <c r="V21" s="32"/>
      <c r="W21" s="34">
        <f>STDEV(V23:V24)/SQRT(COUNT(V23:V24))</f>
        <v>10.758999999999999</v>
      </c>
      <c r="X21" s="32"/>
      <c r="Y21" s="34">
        <f>STDEV(X23:X24)/SQRT(COUNT(X23:X24))</f>
        <v>10.467500000000001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4">
        <f>AVERAGE(AN23:AN24)</f>
        <v>-6.3249999999999993</v>
      </c>
      <c r="AP21" s="37">
        <f>STDEV(AN23:AN24)</f>
        <v>9.1923881554251102E-2</v>
      </c>
      <c r="AQ21" s="32"/>
      <c r="AR21" s="34">
        <f>AVERAGE(AQ23:AQ24)</f>
        <v>1.93</v>
      </c>
      <c r="AS21" s="37">
        <f>STDEV(AQ23:AQ24)</f>
        <v>4.2426406871192889E-2</v>
      </c>
      <c r="AT21" s="32"/>
      <c r="AU21" s="34">
        <f>AVERAGE(AT23:AT24)</f>
        <v>32.909999999999997</v>
      </c>
      <c r="AV21" s="34">
        <f>STDEV(AT23:AT24)</f>
        <v>4.2426406871189433E-2</v>
      </c>
      <c r="AW21" s="32"/>
      <c r="AX21" s="34">
        <f>AVERAGE(AW23,AW24)</f>
        <v>0.63349999999999995</v>
      </c>
      <c r="AY21" s="34">
        <f>STDEV(AW23,AW24)</f>
        <v>7.7781745930520299E-3</v>
      </c>
      <c r="AZ21" s="34">
        <f>STDEV(AW23:AW24)/SQRT(COUNT(AW23:AW24))</f>
        <v>5.5000000000000049E-3</v>
      </c>
      <c r="BA21" s="32"/>
      <c r="BB21" s="34">
        <f>AVERAGE(BA23:BA24)</f>
        <v>0.28300000000000003</v>
      </c>
      <c r="BC21" s="34">
        <f>STDEV(BA23:BA24)/SQRT(COUNT(BA23:BA24))</f>
        <v>8.599999999999991E-2</v>
      </c>
      <c r="BD21" s="32"/>
      <c r="BE21" s="32"/>
      <c r="BF21" s="32"/>
      <c r="BG21" s="34">
        <f>AVERAGE(BF23,BF24)</f>
        <v>12.421920082224176</v>
      </c>
      <c r="BH21" s="34">
        <f>STDEV(BF23,BF24)</f>
        <v>2.3162683194606717</v>
      </c>
      <c r="BI21" s="34">
        <f>STDEV(BF23, BF24)/SQRT(COUNT(BF23, BF24))</f>
        <v>1.6378490357382092</v>
      </c>
      <c r="BJ21" s="32"/>
      <c r="BK21" s="34">
        <f>AVERAGE(BJ23:BJ24)</f>
        <v>1.0319738441987529</v>
      </c>
      <c r="BL21" s="32"/>
      <c r="BM21" s="34">
        <f>AVERAGE(BL23:BL24)</f>
        <v>0.90726934177024532</v>
      </c>
      <c r="BN21" s="34">
        <f>STDEV(BL23:BL24)/SQRT(COUNT(BL23:BL24))</f>
        <v>0.33036294566903723</v>
      </c>
    </row>
    <row r="22" spans="1:66" ht="13.5" customHeight="1" x14ac:dyDescent="0.2">
      <c r="A22" s="22"/>
      <c r="B22" s="30" t="s">
        <v>139</v>
      </c>
      <c r="AN22" s="30">
        <v>-6.42</v>
      </c>
      <c r="AP22" s="31"/>
      <c r="AQ22" s="30">
        <v>1.71</v>
      </c>
      <c r="AS22" s="31"/>
      <c r="AT22" s="30">
        <v>32.68</v>
      </c>
      <c r="AW22" s="30">
        <v>0.67100000000000004</v>
      </c>
      <c r="BA22" s="30">
        <v>0.34200000000000003</v>
      </c>
    </row>
    <row r="23" spans="1:66" ht="13.5" customHeight="1" x14ac:dyDescent="0.2">
      <c r="A23" s="22"/>
      <c r="B23" s="30" t="s">
        <v>67</v>
      </c>
      <c r="C23" s="30" t="s">
        <v>140</v>
      </c>
      <c r="D23" s="30" t="s">
        <v>69</v>
      </c>
      <c r="E23" s="30" t="s">
        <v>138</v>
      </c>
      <c r="F23" s="30" t="s">
        <v>70</v>
      </c>
      <c r="G23" s="30" t="s">
        <v>71</v>
      </c>
      <c r="H23" s="30">
        <v>-6.46</v>
      </c>
      <c r="I23" s="30" t="s">
        <v>72</v>
      </c>
      <c r="J23" s="30">
        <v>9.8699999999999992</v>
      </c>
      <c r="K23" s="30" t="s">
        <v>72</v>
      </c>
      <c r="L23" s="30">
        <v>41.1</v>
      </c>
      <c r="M23" s="30" t="s">
        <v>72</v>
      </c>
      <c r="N23" s="30">
        <v>12.863</v>
      </c>
      <c r="O23" s="30" t="s">
        <v>73</v>
      </c>
      <c r="P23" s="30">
        <v>-0.35599999999999998</v>
      </c>
      <c r="Q23" s="30" t="s">
        <v>74</v>
      </c>
      <c r="R23" s="30">
        <v>31.928000000000001</v>
      </c>
      <c r="S23" s="30" t="s">
        <v>141</v>
      </c>
      <c r="T23" s="30">
        <v>9.0999999999999998E-2</v>
      </c>
      <c r="U23" s="30" t="s">
        <v>142</v>
      </c>
      <c r="V23" s="30">
        <v>-156.065</v>
      </c>
      <c r="W23" s="30" t="s">
        <v>143</v>
      </c>
      <c r="X23" s="30">
        <v>-179.733</v>
      </c>
      <c r="Y23" s="30" t="s">
        <v>144</v>
      </c>
      <c r="Z23" s="30">
        <v>-7.7484662397789171E-3</v>
      </c>
      <c r="AA23" s="30" t="s">
        <v>145</v>
      </c>
      <c r="AB23" s="30">
        <v>-0.25600000000000001</v>
      </c>
      <c r="AC23" s="30">
        <v>1.1218923891447126</v>
      </c>
      <c r="AD23" s="30">
        <v>0.92586223398154044</v>
      </c>
      <c r="AE23" s="30">
        <v>0.63900000000000001</v>
      </c>
      <c r="AF23" s="30">
        <v>0</v>
      </c>
      <c r="AG23" s="30">
        <v>-8.1835608084490485E-3</v>
      </c>
      <c r="AH23" s="30" t="s">
        <v>129</v>
      </c>
      <c r="AI23" s="30">
        <v>0.35199999999999998</v>
      </c>
      <c r="AJ23" s="30">
        <v>1.0811202253492207</v>
      </c>
      <c r="AK23" s="30">
        <v>-1.2190083376635101E-2</v>
      </c>
      <c r="AL23" s="30">
        <v>0.36899999999999999</v>
      </c>
      <c r="AM23" s="30">
        <v>0</v>
      </c>
      <c r="AN23" s="30">
        <v>-6.39</v>
      </c>
      <c r="AP23" s="31"/>
      <c r="AQ23" s="30">
        <v>1.96</v>
      </c>
      <c r="AS23" s="31"/>
      <c r="AT23" s="30">
        <v>32.94</v>
      </c>
      <c r="AW23" s="30">
        <v>0.63900000000000001</v>
      </c>
      <c r="BA23" s="30">
        <v>0.36899999999999999</v>
      </c>
      <c r="BF23" s="30">
        <f>SQRT((BD2*(10^6))/(AW23-BE2))-273.15</f>
        <v>10.784071046485963</v>
      </c>
      <c r="BJ23" s="30">
        <f t="shared" ref="BJ23:BJ24" si="6">IF(F23="Calcite",EXP((((18.03*10^3)/(BF23+273.15))-32.42)/1000),IF(F23="Aragonite",EXP((((17.88*10^3)/(BF23+273.15))-31.14)/1000),IF(F23="Dolomite",EXP((((18.02*10^3)/(BF23+273.15))-29.38)/1000),"")))</f>
        <v>1.0323444338931076</v>
      </c>
      <c r="BL23" s="30">
        <f t="shared" ref="BL23:BL24" si="7">((AT23+1000)/BJ23)-1000</f>
        <v>0.57690639610120797</v>
      </c>
    </row>
    <row r="24" spans="1:66" ht="13.5" customHeight="1" x14ac:dyDescent="0.2">
      <c r="A24" s="22"/>
      <c r="B24" s="30" t="s">
        <v>89</v>
      </c>
      <c r="C24" s="30" t="s">
        <v>147</v>
      </c>
      <c r="D24" s="30" t="s">
        <v>69</v>
      </c>
      <c r="E24" s="30" t="s">
        <v>138</v>
      </c>
      <c r="F24" s="30" t="s">
        <v>70</v>
      </c>
      <c r="G24" s="30" t="s">
        <v>71</v>
      </c>
      <c r="H24" s="30">
        <v>-6.36</v>
      </c>
      <c r="I24" s="30" t="s">
        <v>72</v>
      </c>
      <c r="J24" s="30">
        <v>9.81</v>
      </c>
      <c r="K24" s="30" t="s">
        <v>72</v>
      </c>
      <c r="L24" s="30">
        <v>41.03</v>
      </c>
      <c r="M24" s="30" t="s">
        <v>72</v>
      </c>
      <c r="N24" s="30">
        <v>12.894</v>
      </c>
      <c r="O24" s="30" t="s">
        <v>74</v>
      </c>
      <c r="P24" s="30">
        <v>-0.36</v>
      </c>
      <c r="Q24" s="30" t="s">
        <v>73</v>
      </c>
      <c r="R24" s="30">
        <v>31.619</v>
      </c>
      <c r="S24" s="30" t="s">
        <v>148</v>
      </c>
      <c r="T24" s="30">
        <v>-8.3000000000000004E-2</v>
      </c>
      <c r="U24" s="30" t="s">
        <v>149</v>
      </c>
      <c r="V24" s="30">
        <v>-134.547</v>
      </c>
      <c r="W24" s="30" t="s">
        <v>150</v>
      </c>
      <c r="X24" s="30">
        <v>-158.798</v>
      </c>
      <c r="Y24" s="30" t="s">
        <v>151</v>
      </c>
      <c r="Z24" s="30">
        <v>-7.5639643685657598E-3</v>
      </c>
      <c r="AA24" s="30" t="s">
        <v>152</v>
      </c>
      <c r="AB24" s="30">
        <v>-0.26200000000000001</v>
      </c>
      <c r="AC24" s="30">
        <v>1.1016700806414206</v>
      </c>
      <c r="AD24" s="30">
        <v>0.91621187529509318</v>
      </c>
      <c r="AE24" s="30">
        <v>0.628</v>
      </c>
      <c r="AF24" s="30">
        <v>0</v>
      </c>
      <c r="AG24" s="30">
        <v>-7.0749643027664304E-3</v>
      </c>
      <c r="AH24" s="30" t="s">
        <v>153</v>
      </c>
      <c r="AI24" s="30">
        <v>0.14099999999999999</v>
      </c>
      <c r="AJ24" s="30">
        <v>0.74032336838418789</v>
      </c>
      <c r="AK24" s="30">
        <v>9.2207461823784073E-2</v>
      </c>
      <c r="AL24" s="30">
        <v>0.19700000000000001</v>
      </c>
      <c r="AM24" s="30">
        <v>0</v>
      </c>
      <c r="AN24" s="30">
        <v>-6.26</v>
      </c>
      <c r="AP24" s="31"/>
      <c r="AQ24" s="30">
        <v>1.9</v>
      </c>
      <c r="AS24" s="31"/>
      <c r="AT24" s="30">
        <v>32.880000000000003</v>
      </c>
      <c r="AW24" s="30">
        <v>0.628</v>
      </c>
      <c r="BA24" s="30">
        <v>0.19700000000000001</v>
      </c>
      <c r="BF24" s="30">
        <f>SQRT((BD2*(10^6))/(AW24-BE2))-273.15</f>
        <v>14.059769117962389</v>
      </c>
      <c r="BJ24" s="30">
        <f t="shared" si="6"/>
        <v>1.031603254504398</v>
      </c>
      <c r="BL24" s="30">
        <f t="shared" si="7"/>
        <v>1.2376322874392827</v>
      </c>
    </row>
    <row r="25" spans="1:66" ht="13.5" customHeight="1" x14ac:dyDescent="0.2">
      <c r="A25" s="22"/>
      <c r="AP25" s="31"/>
      <c r="AS25" s="31"/>
    </row>
    <row r="26" spans="1:66" ht="13.5" customHeight="1" x14ac:dyDescent="0.2">
      <c r="A26" s="33">
        <v>3</v>
      </c>
      <c r="B26" s="34" t="str">
        <f>E28</f>
        <v>LGA-1-13</v>
      </c>
      <c r="C26" s="32"/>
      <c r="D26" s="32"/>
      <c r="E26" s="32"/>
      <c r="F26" s="32"/>
      <c r="G26" s="32"/>
      <c r="H26" s="32"/>
      <c r="I26" s="34">
        <f>STDEV(H28:H29)/SQRT(COUNT(H28:H29))</f>
        <v>1.4999999999999679E-2</v>
      </c>
      <c r="J26" s="32"/>
      <c r="K26" s="34">
        <f>STDEV(J28:J29)/SQRT(COUNT(J28:J29))</f>
        <v>3.5000000000000135E-2</v>
      </c>
      <c r="L26" s="32"/>
      <c r="M26" s="34">
        <f>STDEV(L28:L29)/SQRT(COUNT(L28:L29))</f>
        <v>3.5000000000000135E-2</v>
      </c>
      <c r="N26" s="32"/>
      <c r="O26" s="34">
        <f>STDEV(N28:N29)/SQRT(COUNT(N28:N29))</f>
        <v>5.2500000000000213E-2</v>
      </c>
      <c r="P26" s="32"/>
      <c r="Q26" s="34">
        <f>STDEV(P28:P29)/SQRT(COUNT(P28:P29))</f>
        <v>1.0000000000000009E-3</v>
      </c>
      <c r="R26" s="32"/>
      <c r="S26" s="34">
        <f>STDEV(R28:R29)/SQRT(COUNT(R28:R29))</f>
        <v>0.30699999999999855</v>
      </c>
      <c r="T26" s="32"/>
      <c r="U26" s="34">
        <f>STDEV(T28:T29)/SQRT(COUNT(T28:T29))</f>
        <v>0.22800000000000001</v>
      </c>
      <c r="V26" s="32"/>
      <c r="W26" s="34">
        <f>STDEV(V28:V29)/SQRT(COUNT(V28:V29))</f>
        <v>0.90950000000000841</v>
      </c>
      <c r="X26" s="32"/>
      <c r="Y26" s="34">
        <f>STDEV(X28:X29)/SQRT(COUNT(X28:X29))</f>
        <v>0.81300000000000228</v>
      </c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4">
        <f>AVERAGE(AN28:AN29)</f>
        <v>-5.75</v>
      </c>
      <c r="AP26" s="37">
        <f>STDEV(AN28:AN29)</f>
        <v>1.4142135623730649E-2</v>
      </c>
      <c r="AQ26" s="32"/>
      <c r="AR26" s="34">
        <f>AVERAGE(AQ28:AQ29)</f>
        <v>1.9550000000000001</v>
      </c>
      <c r="AS26" s="37">
        <f>STDEV(AQ28:AQ29)</f>
        <v>6.3639610306789343E-2</v>
      </c>
      <c r="AT26" s="32"/>
      <c r="AU26" s="34">
        <f>AVERAGE(AT28:AT29)</f>
        <v>32.935000000000002</v>
      </c>
      <c r="AV26" s="34">
        <f>STDEV(AT28:AT29)</f>
        <v>6.3639610306786665E-2</v>
      </c>
      <c r="AW26" s="32"/>
      <c r="AX26" s="34">
        <f>AVERAGE(AW28,AW29)</f>
        <v>0.62949999999999995</v>
      </c>
      <c r="AY26" s="34">
        <f>STDEV(AW28,AW29)</f>
        <v>9.1923881554251269E-3</v>
      </c>
      <c r="AZ26" s="34">
        <f>STDEV(AW28:AW29)/SQRT(COUNT(AW28:AW29))</f>
        <v>6.5000000000000058E-3</v>
      </c>
      <c r="BA26" s="32"/>
      <c r="BB26" s="34">
        <f>AVERAGE(BA28:BA29)</f>
        <v>0.26100000000000001</v>
      </c>
      <c r="BC26" s="34">
        <f>STDEV(BA28:BA29)/SQRT(COUNT(BA28:BA29))</f>
        <v>0.15299999999999997</v>
      </c>
      <c r="BD26" s="32"/>
      <c r="BE26" s="32"/>
      <c r="BF26" s="32"/>
      <c r="BG26" s="34">
        <f>AVERAGE(BF28,BF29)</f>
        <v>13.626495941656174</v>
      </c>
      <c r="BH26" s="34">
        <f>STDEV(BF28,BF29)</f>
        <v>2.7721177991117911</v>
      </c>
      <c r="BI26" s="34">
        <f>STDEV(BF28,BF29)/SQRT(COUNT(BF28,BF29))</f>
        <v>1.9601832939998749</v>
      </c>
      <c r="BJ26" s="32"/>
      <c r="BK26" s="34">
        <f>AVERAGE(BJ28:BJ29)</f>
        <v>1.0317033866669578</v>
      </c>
      <c r="BL26" s="32"/>
      <c r="BM26" s="34">
        <f>AVERAGE(BL28:BL29)</f>
        <v>1.1939301409346399</v>
      </c>
      <c r="BN26" s="34">
        <f>STDEV(BL28:BL29)/SQRT(COUNT(BL28:BL29))</f>
        <v>0.38307585631912372</v>
      </c>
    </row>
    <row r="27" spans="1:66" ht="13.5" customHeight="1" x14ac:dyDescent="0.2">
      <c r="A27" s="22"/>
      <c r="B27" s="30" t="s">
        <v>155</v>
      </c>
      <c r="AN27" s="30">
        <v>-5.87</v>
      </c>
      <c r="AP27" s="31"/>
      <c r="AQ27" s="30">
        <v>1.68</v>
      </c>
      <c r="AS27" s="31"/>
      <c r="AT27" s="30">
        <v>32.65</v>
      </c>
      <c r="AW27" s="30">
        <v>0.65300000000000002</v>
      </c>
      <c r="BA27" s="30">
        <v>0.316</v>
      </c>
    </row>
    <row r="28" spans="1:66" ht="13.5" customHeight="1" x14ac:dyDescent="0.2">
      <c r="A28" s="22"/>
      <c r="B28" s="30" t="s">
        <v>67</v>
      </c>
      <c r="C28" s="30" t="s">
        <v>156</v>
      </c>
      <c r="D28" s="30" t="s">
        <v>69</v>
      </c>
      <c r="E28" s="30" t="s">
        <v>154</v>
      </c>
      <c r="F28" s="30" t="s">
        <v>70</v>
      </c>
      <c r="G28" s="30" t="s">
        <v>71</v>
      </c>
      <c r="H28" s="30">
        <v>-5.82</v>
      </c>
      <c r="I28" s="30" t="s">
        <v>72</v>
      </c>
      <c r="J28" s="30">
        <v>9.89</v>
      </c>
      <c r="K28" s="30" t="s">
        <v>72</v>
      </c>
      <c r="L28" s="30">
        <v>41.11</v>
      </c>
      <c r="M28" s="30" t="s">
        <v>72</v>
      </c>
      <c r="N28" s="30">
        <v>13.497</v>
      </c>
      <c r="O28" s="30" t="s">
        <v>130</v>
      </c>
      <c r="P28" s="30">
        <v>-0.36499999999999999</v>
      </c>
      <c r="Q28" s="30" t="s">
        <v>146</v>
      </c>
      <c r="R28" s="30">
        <v>32.131999999999998</v>
      </c>
      <c r="S28" s="30" t="s">
        <v>93</v>
      </c>
      <c r="T28" s="30">
        <v>0.255</v>
      </c>
      <c r="U28" s="30" t="s">
        <v>157</v>
      </c>
      <c r="V28" s="30">
        <v>-147.886</v>
      </c>
      <c r="W28" s="30" t="s">
        <v>158</v>
      </c>
      <c r="X28" s="30">
        <v>-172.34</v>
      </c>
      <c r="Y28" s="30" t="s">
        <v>159</v>
      </c>
      <c r="Z28" s="30">
        <v>-7.7504215335673331E-3</v>
      </c>
      <c r="AA28" s="30" t="s">
        <v>160</v>
      </c>
      <c r="AB28" s="30">
        <v>-0.26</v>
      </c>
      <c r="AC28" s="30">
        <v>1.1287014466578862</v>
      </c>
      <c r="AD28" s="30">
        <v>0.92896211489976332</v>
      </c>
      <c r="AE28" s="30">
        <v>0.63600000000000001</v>
      </c>
      <c r="AF28" s="30">
        <v>0</v>
      </c>
      <c r="AG28" s="30">
        <v>-8.1835608084490502E-3</v>
      </c>
      <c r="AH28" s="30" t="s">
        <v>161</v>
      </c>
      <c r="AI28" s="30">
        <v>0.51800000000000002</v>
      </c>
      <c r="AJ28" s="30">
        <v>0.56380859735672595</v>
      </c>
      <c r="AK28" s="30">
        <v>0.12260898973234685</v>
      </c>
      <c r="AL28" s="30">
        <v>0.41399999999999998</v>
      </c>
      <c r="AM28" s="30">
        <v>0</v>
      </c>
      <c r="AN28" s="30">
        <v>-5.74</v>
      </c>
      <c r="AP28" s="31"/>
      <c r="AQ28" s="30">
        <v>2</v>
      </c>
      <c r="AS28" s="31"/>
      <c r="AT28" s="30">
        <v>32.979999999999997</v>
      </c>
      <c r="AW28" s="30">
        <v>0.63600000000000001</v>
      </c>
      <c r="BA28" s="30">
        <v>0.41399999999999998</v>
      </c>
      <c r="BF28" s="30">
        <f>SQRT((BD2*(10^6))/(AW28-BE2))-273.15</f>
        <v>11.666312647656298</v>
      </c>
      <c r="BJ28" s="30">
        <f t="shared" ref="BJ28:BJ29" si="8">IF(F28="Calcite",EXP((((18.03*10^3)/(BF28+273.15))-32.42)/1000),IF(F28="Aragonite",EXP((((17.88*10^3)/(BF28+273.15))-31.14)/1000),IF(F28="Dolomite",EXP((((18.02*10^3)/(BF28+273.15))-29.38)/1000),"")))</f>
        <v>1.0321430823593327</v>
      </c>
      <c r="BL28" s="30">
        <f t="shared" ref="BL28:BL29" si="9">((AT28+1000)/BJ28)-1000</f>
        <v>0.81085428461551601</v>
      </c>
    </row>
    <row r="29" spans="1:66" ht="13.5" customHeight="1" x14ac:dyDescent="0.2">
      <c r="A29" s="22"/>
      <c r="B29" s="30" t="s">
        <v>89</v>
      </c>
      <c r="C29" s="30" t="s">
        <v>165</v>
      </c>
      <c r="D29" s="30" t="s">
        <v>69</v>
      </c>
      <c r="E29" s="30" t="s">
        <v>154</v>
      </c>
      <c r="F29" s="30" t="s">
        <v>70</v>
      </c>
      <c r="G29" s="30" t="s">
        <v>71</v>
      </c>
      <c r="H29" s="30">
        <v>-5.85</v>
      </c>
      <c r="I29" s="30" t="s">
        <v>72</v>
      </c>
      <c r="J29" s="30">
        <v>9.82</v>
      </c>
      <c r="K29" s="30" t="s">
        <v>72</v>
      </c>
      <c r="L29" s="30">
        <v>41.04</v>
      </c>
      <c r="M29" s="30" t="s">
        <v>72</v>
      </c>
      <c r="N29" s="30">
        <v>13.391999999999999</v>
      </c>
      <c r="O29" s="30" t="s">
        <v>166</v>
      </c>
      <c r="P29" s="30">
        <v>-0.36699999999999999</v>
      </c>
      <c r="Q29" s="30" t="s">
        <v>130</v>
      </c>
      <c r="R29" s="30">
        <v>31.518000000000001</v>
      </c>
      <c r="S29" s="30" t="s">
        <v>149</v>
      </c>
      <c r="T29" s="30">
        <v>-0.20100000000000001</v>
      </c>
      <c r="U29" s="30" t="s">
        <v>149</v>
      </c>
      <c r="V29" s="30">
        <v>-149.70500000000001</v>
      </c>
      <c r="W29" s="30" t="s">
        <v>167</v>
      </c>
      <c r="X29" s="30">
        <v>-173.96600000000001</v>
      </c>
      <c r="Y29" s="30" t="s">
        <v>168</v>
      </c>
      <c r="Z29" s="30">
        <v>-7.5639643685657641E-3</v>
      </c>
      <c r="AA29" s="30" t="s">
        <v>169</v>
      </c>
      <c r="AB29" s="30">
        <v>-0.26600000000000001</v>
      </c>
      <c r="AC29" s="30">
        <v>1.1016700806414201</v>
      </c>
      <c r="AD29" s="30">
        <v>0.91621187529509285</v>
      </c>
      <c r="AE29" s="30">
        <v>0.623</v>
      </c>
      <c r="AF29" s="30">
        <v>0</v>
      </c>
      <c r="AG29" s="30">
        <v>-7.0749643027664365E-3</v>
      </c>
      <c r="AH29" s="30" t="s">
        <v>170</v>
      </c>
      <c r="AI29" s="30">
        <v>2.1999999999999999E-2</v>
      </c>
      <c r="AJ29" s="30">
        <v>0.74032336838419111</v>
      </c>
      <c r="AK29" s="30">
        <v>9.2207461823783421E-2</v>
      </c>
      <c r="AL29" s="30">
        <v>0.108</v>
      </c>
      <c r="AM29" s="30">
        <v>0</v>
      </c>
      <c r="AN29" s="30">
        <v>-5.76</v>
      </c>
      <c r="AP29" s="31"/>
      <c r="AQ29" s="30">
        <v>1.91</v>
      </c>
      <c r="AS29" s="31"/>
      <c r="AT29" s="30">
        <v>32.89</v>
      </c>
      <c r="AW29" s="30">
        <v>0.623</v>
      </c>
      <c r="BA29" s="30">
        <v>0.108</v>
      </c>
      <c r="BF29" s="30">
        <f>SQRT((BD2*(10^6))/(AW29-BE2))-273.15</f>
        <v>15.58667923565605</v>
      </c>
      <c r="BJ29" s="30">
        <f t="shared" si="8"/>
        <v>1.0312636909745831</v>
      </c>
      <c r="BL29" s="30">
        <f t="shared" si="9"/>
        <v>1.5770059972537638</v>
      </c>
    </row>
    <row r="30" spans="1:66" ht="13.5" customHeight="1" x14ac:dyDescent="0.2">
      <c r="A30" s="22"/>
      <c r="AP30" s="31"/>
      <c r="AS30" s="31"/>
    </row>
    <row r="31" spans="1:66" ht="13.5" customHeight="1" x14ac:dyDescent="0.2">
      <c r="A31" s="33">
        <v>3</v>
      </c>
      <c r="B31" s="34" t="str">
        <f>E33</f>
        <v>LGA-1-14</v>
      </c>
      <c r="C31" s="32"/>
      <c r="D31" s="32"/>
      <c r="E31" s="32"/>
      <c r="F31" s="32"/>
      <c r="G31" s="32"/>
      <c r="H31" s="32"/>
      <c r="I31" s="34">
        <f>STDEV(H33:H35)/SQRT(COUNT(H33:H35))</f>
        <v>7.5351030369715619E-2</v>
      </c>
      <c r="J31" s="32"/>
      <c r="K31" s="34">
        <f>STDEV(J33:J35)/SQRT(COUNT(J33:J35))</f>
        <v>0.10785793124908985</v>
      </c>
      <c r="L31" s="32"/>
      <c r="M31" s="34">
        <f>STDEV(L33:L35)/SQRT(COUNT(L33:L35))</f>
        <v>0.10785793124909096</v>
      </c>
      <c r="N31" s="32"/>
      <c r="O31" s="34">
        <f>STDEV(N33:N35)/SQRT(COUNT(N33:N35))</f>
        <v>0.19143086944841928</v>
      </c>
      <c r="P31" s="32"/>
      <c r="Q31" s="34">
        <f>STDEV(P33:P35)/SQRT(COUNT(P33:P35))</f>
        <v>9.76956725983524E-3</v>
      </c>
      <c r="R31" s="32"/>
      <c r="S31" s="34">
        <f>STDEV(R33:R35)/SQRT(COUNT(R33:R35))</f>
        <v>0.17997808508568797</v>
      </c>
      <c r="T31" s="32"/>
      <c r="U31" s="34">
        <f>STDEV(T33:T35)/SQRT(COUNT(T33:T35))</f>
        <v>7.6422073600062271E-2</v>
      </c>
      <c r="V31" s="32"/>
      <c r="W31" s="34">
        <f>STDEV(V33:V35)/SQRT(COUNT(V33:V35))</f>
        <v>6.2064811375779705</v>
      </c>
      <c r="X31" s="32"/>
      <c r="Y31" s="34">
        <f>STDEV(X33:X35)/SQRT(COUNT(X33:X35))</f>
        <v>5.8504432405682802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4">
        <f>AVERAGE(AN33:AN35)</f>
        <v>-4.0866666666666669</v>
      </c>
      <c r="AP31" s="37">
        <f>STDEV(AN33:AN35)</f>
        <v>0.12055427546683424</v>
      </c>
      <c r="AQ31" s="32"/>
      <c r="AR31" s="34">
        <f>AVERAGE(AQ33:AQ35)</f>
        <v>1.37</v>
      </c>
      <c r="AS31" s="37">
        <f>STDEV(AQ33:AQ35)</f>
        <v>0.18681541692269268</v>
      </c>
      <c r="AT31" s="32"/>
      <c r="AU31" s="34">
        <f>AVERAGE(AT33:AT35)</f>
        <v>32.333333333333329</v>
      </c>
      <c r="AV31" s="34">
        <f>STDEV(AT33:AT35)</f>
        <v>0.19218047073866232</v>
      </c>
      <c r="AW31" s="32"/>
      <c r="AX31" s="34">
        <f>AVERAGE(AW33:AW35)</f>
        <v>0.61033333333333328</v>
      </c>
      <c r="AY31" s="34">
        <f>STDEV(AW33:AW35)</f>
        <v>2.5324559884296795E-2</v>
      </c>
      <c r="AZ31" s="34">
        <f>STDEV(AW33:AW35)/SQRT(COUNT(AW33:AW35))</f>
        <v>1.4621141466307554E-2</v>
      </c>
      <c r="BA31" s="32"/>
      <c r="BB31" s="34">
        <f>AVERAGE(BA33:BA35)</f>
        <v>0.17100000000000001</v>
      </c>
      <c r="BC31" s="34">
        <f>STDEV(BA33:BA35)/SQRT(COUNT(BA33:BA35))</f>
        <v>8.4539931393395398E-2</v>
      </c>
      <c r="BD31" s="32"/>
      <c r="BE31" s="32"/>
      <c r="BF31" s="32"/>
      <c r="BG31" s="34">
        <f>AVERAGE(BF33:BF35)</f>
        <v>19.787436365751319</v>
      </c>
      <c r="BH31" s="34">
        <f>STDEV(BF33:BF35)</f>
        <v>7.9765854889458891</v>
      </c>
      <c r="BI31" s="34">
        <f>STDEV(BF33:BF35)/SQRT(COUNT(BF33:BF35))</f>
        <v>4.6052837792569719</v>
      </c>
      <c r="BJ31" s="32"/>
      <c r="BK31" s="34">
        <f>AVERAGE(BJ33:BJ35)</f>
        <v>1.0303808019074499</v>
      </c>
      <c r="BL31" s="32"/>
      <c r="BM31" s="34">
        <f>AVERAGE(BL33:BL35)</f>
        <v>1.8966803836580464</v>
      </c>
      <c r="BN31" s="34">
        <f>STDEV(BL33:BL35)/SQRT(COUNT(BL33:BL35))</f>
        <v>0.88567433211352131</v>
      </c>
    </row>
    <row r="32" spans="1:66" ht="13.5" customHeight="1" x14ac:dyDescent="0.2">
      <c r="A32" s="22"/>
      <c r="B32" s="30" t="s">
        <v>172</v>
      </c>
      <c r="AN32" s="30">
        <v>-4.09</v>
      </c>
      <c r="AP32" s="31"/>
      <c r="AQ32" s="30">
        <v>1.37</v>
      </c>
      <c r="AS32" s="31"/>
      <c r="AT32" s="30">
        <v>32.340000000000003</v>
      </c>
      <c r="AW32" s="30">
        <v>0.61</v>
      </c>
      <c r="BA32" s="30">
        <v>0.17100000000000001</v>
      </c>
    </row>
    <row r="33" spans="1:66" ht="13.5" customHeight="1" x14ac:dyDescent="0.2">
      <c r="A33" s="22"/>
      <c r="B33" s="30" t="s">
        <v>67</v>
      </c>
      <c r="C33" s="30" t="s">
        <v>173</v>
      </c>
      <c r="D33" s="30" t="s">
        <v>69</v>
      </c>
      <c r="E33" s="30" t="s">
        <v>171</v>
      </c>
      <c r="F33" s="30" t="s">
        <v>70</v>
      </c>
      <c r="G33" s="30" t="s">
        <v>71</v>
      </c>
      <c r="H33" s="30">
        <v>-4.0599999999999996</v>
      </c>
      <c r="I33" s="30" t="s">
        <v>72</v>
      </c>
      <c r="J33" s="30">
        <v>9.4600000000000009</v>
      </c>
      <c r="K33" s="30" t="s">
        <v>72</v>
      </c>
      <c r="L33" s="30">
        <v>40.67</v>
      </c>
      <c r="M33" s="30" t="s">
        <v>72</v>
      </c>
      <c r="N33" s="30">
        <v>14.792999999999999</v>
      </c>
      <c r="O33" s="30" t="s">
        <v>73</v>
      </c>
      <c r="P33" s="30">
        <v>-0.371</v>
      </c>
      <c r="Q33" s="30" t="s">
        <v>73</v>
      </c>
      <c r="R33" s="30">
        <v>30.869</v>
      </c>
      <c r="S33" s="30" t="s">
        <v>83</v>
      </c>
      <c r="T33" s="30">
        <v>-0.13400000000000001</v>
      </c>
      <c r="U33" s="30" t="s">
        <v>84</v>
      </c>
      <c r="V33" s="30">
        <v>-156.297</v>
      </c>
      <c r="W33" s="30" t="s">
        <v>174</v>
      </c>
      <c r="X33" s="30">
        <v>-181.27199999999999</v>
      </c>
      <c r="Y33" s="30" t="s">
        <v>175</v>
      </c>
      <c r="Z33" s="30">
        <v>-7.7504215335673322E-3</v>
      </c>
      <c r="AA33" s="30" t="s">
        <v>176</v>
      </c>
      <c r="AB33" s="30">
        <v>-0.25700000000000001</v>
      </c>
      <c r="AC33" s="30">
        <v>1.128701446657886</v>
      </c>
      <c r="AD33" s="30">
        <v>0.9289621148997631</v>
      </c>
      <c r="AE33" s="30">
        <v>0.63900000000000001</v>
      </c>
      <c r="AF33" s="30">
        <v>0</v>
      </c>
      <c r="AG33" s="30">
        <v>-8.1835608084490485E-3</v>
      </c>
      <c r="AH33" s="30" t="s">
        <v>106</v>
      </c>
      <c r="AI33" s="30">
        <v>0.11899999999999999</v>
      </c>
      <c r="AJ33" s="30">
        <v>0.56380859735672606</v>
      </c>
      <c r="AK33" s="30">
        <v>0.12260898973234687</v>
      </c>
      <c r="AL33" s="30">
        <v>0.19</v>
      </c>
      <c r="AM33" s="30">
        <v>0</v>
      </c>
      <c r="AN33" s="30">
        <v>-3.96</v>
      </c>
      <c r="AP33" s="31"/>
      <c r="AQ33" s="30">
        <v>1.57</v>
      </c>
      <c r="AS33" s="31"/>
      <c r="AT33" s="30">
        <v>32.54</v>
      </c>
      <c r="AW33" s="30">
        <v>0.63900000000000001</v>
      </c>
      <c r="BA33" s="30">
        <v>0.19</v>
      </c>
      <c r="BF33" s="30">
        <f>SQRT((BD2*(10^6))/(AW33-BE2))-273.15</f>
        <v>10.784071046485963</v>
      </c>
      <c r="BJ33" s="30">
        <f t="shared" ref="BJ33:BJ35" si="10">IF(F33="Calcite",EXP((((18.03*10^3)/(BF33+273.15))-32.42)/1000),IF(F33="Aragonite",EXP((((17.88*10^3)/(BF33+273.15))-31.14)/1000),IF(F33="Dolomite",EXP((((18.02*10^3)/(BF33+273.15))-29.38)/1000),"")))</f>
        <v>1.0323444338931076</v>
      </c>
      <c r="BL33" s="30">
        <f t="shared" ref="BL33:BL35" si="11">((AT33+1000)/BJ33)-1000</f>
        <v>0.18943881564302956</v>
      </c>
    </row>
    <row r="34" spans="1:66" ht="13.5" customHeight="1" x14ac:dyDescent="0.2">
      <c r="A34" s="22"/>
      <c r="B34" s="30" t="s">
        <v>81</v>
      </c>
      <c r="C34" s="30" t="s">
        <v>177</v>
      </c>
      <c r="D34" s="30" t="s">
        <v>69</v>
      </c>
      <c r="E34" s="30" t="s">
        <v>171</v>
      </c>
      <c r="F34" s="30" t="s">
        <v>70</v>
      </c>
      <c r="G34" s="30" t="s">
        <v>71</v>
      </c>
      <c r="H34" s="30">
        <v>-4.32</v>
      </c>
      <c r="I34" s="30" t="s">
        <v>72</v>
      </c>
      <c r="J34" s="30">
        <v>9.09</v>
      </c>
      <c r="K34" s="30" t="s">
        <v>72</v>
      </c>
      <c r="L34" s="30">
        <v>40.299999999999997</v>
      </c>
      <c r="M34" s="30" t="s">
        <v>72</v>
      </c>
      <c r="N34" s="30">
        <v>14.138999999999999</v>
      </c>
      <c r="O34" s="30" t="s">
        <v>146</v>
      </c>
      <c r="P34" s="30">
        <v>-0.39400000000000002</v>
      </c>
      <c r="Q34" s="30" t="s">
        <v>130</v>
      </c>
      <c r="R34" s="30">
        <v>30.317</v>
      </c>
      <c r="S34" s="30" t="s">
        <v>178</v>
      </c>
      <c r="T34" s="30">
        <v>0.06</v>
      </c>
      <c r="U34" s="30" t="s">
        <v>178</v>
      </c>
      <c r="V34" s="30">
        <v>-174.441</v>
      </c>
      <c r="W34" s="30" t="s">
        <v>179</v>
      </c>
      <c r="X34" s="30">
        <v>-198.08699999999999</v>
      </c>
      <c r="Y34" s="30" t="s">
        <v>180</v>
      </c>
      <c r="Z34" s="30">
        <v>-7.5639643685657624E-3</v>
      </c>
      <c r="AA34" s="30" t="s">
        <v>181</v>
      </c>
      <c r="AB34" s="30">
        <v>-0.28699999999999998</v>
      </c>
      <c r="AC34" s="30">
        <v>1.1053546257475477</v>
      </c>
      <c r="AD34" s="30">
        <v>0.91802756837580335</v>
      </c>
      <c r="AE34" s="30">
        <v>0.60099999999999998</v>
      </c>
      <c r="AF34" s="30">
        <v>0</v>
      </c>
      <c r="AG34" s="30">
        <v>-7.0749643027664304E-3</v>
      </c>
      <c r="AH34" s="30" t="s">
        <v>182</v>
      </c>
      <c r="AI34" s="30">
        <v>0.27500000000000002</v>
      </c>
      <c r="AJ34" s="30">
        <v>1.1494853862194643</v>
      </c>
      <c r="AK34" s="30">
        <v>-8.5775925798966118E-3</v>
      </c>
      <c r="AL34" s="30">
        <v>0.307</v>
      </c>
      <c r="AM34" s="30">
        <v>0</v>
      </c>
      <c r="AN34" s="30">
        <v>-4.2</v>
      </c>
      <c r="AP34" s="31"/>
      <c r="AQ34" s="30">
        <v>1.2</v>
      </c>
      <c r="AS34" s="31"/>
      <c r="AT34" s="30">
        <v>32.159999999999997</v>
      </c>
      <c r="AW34" s="30">
        <v>0.60099999999999998</v>
      </c>
      <c r="BA34" s="30">
        <v>0.307</v>
      </c>
      <c r="BF34" s="30">
        <f>SQRT((BD2*(10^6))/(AW34-BE2))-273.15</f>
        <v>22.606717242708555</v>
      </c>
      <c r="BJ34" s="30">
        <f t="shared" si="10"/>
        <v>1.0297490106019391</v>
      </c>
      <c r="BL34" s="30">
        <f t="shared" si="11"/>
        <v>2.341336940592555</v>
      </c>
    </row>
    <row r="35" spans="1:66" ht="13.5" customHeight="1" x14ac:dyDescent="0.2">
      <c r="A35" s="22"/>
      <c r="B35" s="30" t="s">
        <v>89</v>
      </c>
      <c r="C35" s="30" t="s">
        <v>183</v>
      </c>
      <c r="D35" s="30" t="s">
        <v>69</v>
      </c>
      <c r="E35" s="30" t="s">
        <v>171</v>
      </c>
      <c r="F35" s="30" t="s">
        <v>70</v>
      </c>
      <c r="G35" s="30" t="s">
        <v>71</v>
      </c>
      <c r="H35" s="30">
        <v>-4.21</v>
      </c>
      <c r="I35" s="30" t="s">
        <v>72</v>
      </c>
      <c r="J35" s="30">
        <v>9.23</v>
      </c>
      <c r="K35" s="30" t="s">
        <v>72</v>
      </c>
      <c r="L35" s="30">
        <v>40.44</v>
      </c>
      <c r="M35" s="30" t="s">
        <v>72</v>
      </c>
      <c r="N35" s="30">
        <v>14.371</v>
      </c>
      <c r="O35" s="30" t="s">
        <v>74</v>
      </c>
      <c r="P35" s="30">
        <v>-0.40400000000000003</v>
      </c>
      <c r="Q35" s="30" t="s">
        <v>74</v>
      </c>
      <c r="R35" s="30">
        <v>30.341999999999999</v>
      </c>
      <c r="S35" s="30" t="s">
        <v>184</v>
      </c>
      <c r="T35" s="30">
        <v>-0.193</v>
      </c>
      <c r="U35" s="30" t="s">
        <v>185</v>
      </c>
      <c r="V35" s="30">
        <v>-155.38</v>
      </c>
      <c r="W35" s="30" t="s">
        <v>186</v>
      </c>
      <c r="X35" s="30">
        <v>-179.88200000000001</v>
      </c>
      <c r="Y35" s="30" t="s">
        <v>187</v>
      </c>
      <c r="Z35" s="30">
        <v>-7.5639643685657624E-3</v>
      </c>
      <c r="AA35" s="30" t="s">
        <v>188</v>
      </c>
      <c r="AB35" s="30">
        <v>-0.29599999999999999</v>
      </c>
      <c r="AC35" s="30">
        <v>1.1053546257475475</v>
      </c>
      <c r="AD35" s="30">
        <v>0.91802756837580335</v>
      </c>
      <c r="AE35" s="30">
        <v>0.59099999999999997</v>
      </c>
      <c r="AF35" s="30">
        <v>0</v>
      </c>
      <c r="AG35" s="30">
        <v>-7.0749643027664339E-3</v>
      </c>
      <c r="AH35" s="30" t="s">
        <v>170</v>
      </c>
      <c r="AI35" s="30">
        <v>2.1999999999999999E-2</v>
      </c>
      <c r="AJ35" s="30">
        <v>1.1494853862194603</v>
      </c>
      <c r="AK35" s="30">
        <v>-8.577592579895715E-3</v>
      </c>
      <c r="AL35" s="30">
        <v>1.6E-2</v>
      </c>
      <c r="AM35" s="30">
        <v>0</v>
      </c>
      <c r="AN35" s="30">
        <v>-4.0999999999999996</v>
      </c>
      <c r="AP35" s="31"/>
      <c r="AQ35" s="30">
        <v>1.34</v>
      </c>
      <c r="AS35" s="31"/>
      <c r="AT35" s="30">
        <v>32.299999999999997</v>
      </c>
      <c r="AW35" s="30">
        <v>0.59099999999999997</v>
      </c>
      <c r="BA35" s="30">
        <v>1.6E-2</v>
      </c>
      <c r="BF35" s="30">
        <f>SQRT((BD2*(10^6))/(AW35-BE2))-273.15</f>
        <v>25.971520808059438</v>
      </c>
      <c r="BJ35" s="30">
        <f t="shared" si="10"/>
        <v>1.0290489612273028</v>
      </c>
      <c r="BL35" s="30">
        <f t="shared" si="11"/>
        <v>3.1592653947385543</v>
      </c>
    </row>
    <row r="36" spans="1:66" ht="13.5" customHeight="1" x14ac:dyDescent="0.2">
      <c r="A36" s="22"/>
      <c r="AP36" s="31"/>
      <c r="AS36" s="31"/>
    </row>
    <row r="37" spans="1:66" ht="13.5" customHeight="1" x14ac:dyDescent="0.2">
      <c r="A37" s="33">
        <v>3</v>
      </c>
      <c r="B37" s="34" t="str">
        <f>E39</f>
        <v>LGA-1-2</v>
      </c>
      <c r="C37" s="32"/>
      <c r="D37" s="32"/>
      <c r="E37" s="32"/>
      <c r="F37" s="32"/>
      <c r="G37" s="32"/>
      <c r="H37" s="32"/>
      <c r="I37" s="34">
        <f>STDEV(H39:H41)/SQRT(COUNT(H39:H41))</f>
        <v>1.6666666666666607E-2</v>
      </c>
      <c r="J37" s="32"/>
      <c r="K37" s="34">
        <f>STDEV(J39:J41)/SQRT(COUNT(J39:J41))</f>
        <v>2.0000000000000167E-2</v>
      </c>
      <c r="L37" s="32"/>
      <c r="M37" s="34">
        <f>STDEV(L39:L41)/SQRT(COUNT(L39:L41))</f>
        <v>1.8559214542766874E-2</v>
      </c>
      <c r="N37" s="32"/>
      <c r="O37" s="34">
        <f>STDEV(N39:N41)/SQRT(COUNT(N39:N41))</f>
        <v>2.1957028740499339E-2</v>
      </c>
      <c r="P37" s="32"/>
      <c r="Q37" s="34">
        <f>STDEV(P39:P41)/SQRT(COUNT(P39:P41))</f>
        <v>2.9627314724385324E-3</v>
      </c>
      <c r="R37" s="32"/>
      <c r="S37" s="34">
        <f>STDEV(R39:R41)/SQRT(COUNT(R39:R41))</f>
        <v>7.933963560401526E-2</v>
      </c>
      <c r="T37" s="32"/>
      <c r="U37" s="34">
        <f>STDEV(T39:T41)/SQRT(COUNT(T39:T41))</f>
        <v>4.6641659966648326E-2</v>
      </c>
      <c r="V37" s="32"/>
      <c r="W37" s="34">
        <f>STDEV(V39:V41)/SQRT(COUNT(V39:V41))</f>
        <v>21.061177668349316</v>
      </c>
      <c r="X37" s="32"/>
      <c r="Y37" s="34">
        <f>STDEV(X39:X41)/SQRT(COUNT(X39:X41))</f>
        <v>20.473652681217153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4">
        <f>AVERAGE(AN39:AN41)</f>
        <v>-6.2299999999999995</v>
      </c>
      <c r="AP37" s="37">
        <f>STDEV(AN39:AN41)</f>
        <v>3.605551275463962E-2</v>
      </c>
      <c r="AQ37" s="32"/>
      <c r="AR37" s="34">
        <f>AVERAGE(AQ39:AQ41)</f>
        <v>2.313333333333333</v>
      </c>
      <c r="AS37" s="37">
        <f>STDEV(AQ39:AQ41)</f>
        <v>2.5166114784235735E-2</v>
      </c>
      <c r="AT37" s="32"/>
      <c r="AU37" s="34">
        <f>AVERAGE(AT39:AT41)</f>
        <v>33.303333333333335</v>
      </c>
      <c r="AV37" s="34">
        <f>STDEV(AT39:AT41)</f>
        <v>2.516611478423459E-2</v>
      </c>
      <c r="AW37" s="32"/>
      <c r="AX37" s="34">
        <f>AVERAGE(AW39:AW41)</f>
        <v>0.63600000000000001</v>
      </c>
      <c r="AY37" s="34">
        <f>STDEV(AW39:AW41)</f>
        <v>7.8102496759066605E-3</v>
      </c>
      <c r="AZ37" s="34">
        <f>STDEV(AW39:AW41)/SQRT(COUNT(AW39:AW41))</f>
        <v>4.5092497528228977E-3</v>
      </c>
      <c r="BA37" s="32"/>
      <c r="BB37" s="34">
        <f>AVERAGE(BA39:BA41)</f>
        <v>0.22366666666666668</v>
      </c>
      <c r="BC37" s="34">
        <f>STDEV(BA39:BA41)/SQRT(COUNT(BA39:BA41))</f>
        <v>6.0929832138653064E-2</v>
      </c>
      <c r="BD37" s="32"/>
      <c r="BE37" s="32"/>
      <c r="BF37" s="32"/>
      <c r="BG37" s="34">
        <f>AVERAGE(BF39:BF41)</f>
        <v>11.685154998984501</v>
      </c>
      <c r="BH37" s="34">
        <f>STDEV(BF39:BF41)</f>
        <v>2.3238373446246681</v>
      </c>
      <c r="BI37" s="34">
        <f>STDEV(BF39:BF41)/SQRT(COUNT(BF39:BF41))</f>
        <v>1.3416681164719573</v>
      </c>
      <c r="BJ37" s="32"/>
      <c r="BK37" s="34">
        <f>AVERAGE(BJ39:BJ41)</f>
        <v>1.0321417473998686</v>
      </c>
      <c r="BL37" s="32"/>
      <c r="BM37" s="34">
        <f>AVERAGE(BL39:BL41)</f>
        <v>1.125579691570427</v>
      </c>
      <c r="BN37" s="34">
        <f>STDEV(BL39:BL41)/SQRT(COUNT(BL39:BL41))</f>
        <v>0.28299450818157029</v>
      </c>
    </row>
    <row r="38" spans="1:66" ht="13.5" customHeight="1" x14ac:dyDescent="0.2">
      <c r="A38" s="22"/>
      <c r="B38" s="30" t="s">
        <v>190</v>
      </c>
      <c r="AN38" s="30">
        <v>-6.23</v>
      </c>
      <c r="AP38" s="31"/>
      <c r="AQ38" s="30">
        <v>2.31</v>
      </c>
      <c r="AS38" s="31"/>
      <c r="AT38" s="30">
        <v>33.299999999999997</v>
      </c>
      <c r="AW38" s="30">
        <v>0.63600000000000001</v>
      </c>
      <c r="BA38" s="30">
        <v>0.223</v>
      </c>
    </row>
    <row r="39" spans="1:66" ht="13.5" customHeight="1" x14ac:dyDescent="0.2">
      <c r="A39" s="22"/>
      <c r="B39" s="30" t="s">
        <v>67</v>
      </c>
      <c r="C39" s="30" t="s">
        <v>191</v>
      </c>
      <c r="D39" s="30" t="s">
        <v>69</v>
      </c>
      <c r="E39" s="30" t="s">
        <v>189</v>
      </c>
      <c r="F39" s="30" t="s">
        <v>70</v>
      </c>
      <c r="G39" s="30" t="s">
        <v>71</v>
      </c>
      <c r="H39" s="30">
        <v>-6.33</v>
      </c>
      <c r="I39" s="30" t="s">
        <v>72</v>
      </c>
      <c r="J39" s="30">
        <v>10.18</v>
      </c>
      <c r="K39" s="30" t="s">
        <v>72</v>
      </c>
      <c r="L39" s="30">
        <v>41.42</v>
      </c>
      <c r="M39" s="30" t="s">
        <v>72</v>
      </c>
      <c r="N39" s="30">
        <v>13.292</v>
      </c>
      <c r="O39" s="30" t="s">
        <v>74</v>
      </c>
      <c r="P39" s="30">
        <v>-0.36699999999999999</v>
      </c>
      <c r="Q39" s="30" t="s">
        <v>74</v>
      </c>
      <c r="R39" s="30">
        <v>32.323999999999998</v>
      </c>
      <c r="S39" s="30" t="s">
        <v>192</v>
      </c>
      <c r="T39" s="30">
        <v>-0.13700000000000001</v>
      </c>
      <c r="U39" s="30" t="s">
        <v>193</v>
      </c>
      <c r="V39" s="30">
        <v>-169.429</v>
      </c>
      <c r="W39" s="30" t="s">
        <v>194</v>
      </c>
      <c r="X39" s="30">
        <v>-193.32</v>
      </c>
      <c r="Y39" s="30" t="s">
        <v>195</v>
      </c>
      <c r="Z39" s="30">
        <v>-7.8481966198426841E-3</v>
      </c>
      <c r="AA39" s="30" t="s">
        <v>196</v>
      </c>
      <c r="AB39" s="30">
        <v>-0.26300000000000001</v>
      </c>
      <c r="AC39" s="30">
        <v>1.1105678696611041</v>
      </c>
      <c r="AD39" s="30">
        <v>0.91831664672838398</v>
      </c>
      <c r="AE39" s="30">
        <v>0.627</v>
      </c>
      <c r="AF39" s="30">
        <v>0</v>
      </c>
      <c r="AG39" s="30">
        <v>-7.8439169121269792E-3</v>
      </c>
      <c r="AH39" s="30" t="s">
        <v>197</v>
      </c>
      <c r="AI39" s="30">
        <v>0.11600000000000001</v>
      </c>
      <c r="AJ39" s="30">
        <v>1.1582615959907665</v>
      </c>
      <c r="AK39" s="30">
        <v>-3.0238679309065555E-2</v>
      </c>
      <c r="AL39" s="30">
        <v>0.105</v>
      </c>
      <c r="AM39" s="30">
        <v>0</v>
      </c>
      <c r="AN39" s="30">
        <v>-6.26</v>
      </c>
      <c r="AP39" s="31"/>
      <c r="AQ39" s="30">
        <v>2.29</v>
      </c>
      <c r="AS39" s="31"/>
      <c r="AT39" s="30">
        <v>33.28</v>
      </c>
      <c r="AW39" s="30">
        <v>0.627</v>
      </c>
      <c r="BA39" s="30">
        <v>0.105</v>
      </c>
      <c r="BF39" s="30">
        <f>SQRT((BD2*(10^6))/(AW39-BE2))-273.15</f>
        <v>14.363213227021731</v>
      </c>
      <c r="BJ39" s="30">
        <f t="shared" ref="BJ39:BJ41" si="12">IF(F39="Calcite",EXP((((18.03*10^3)/(BF39+273.15))-32.42)/1000),IF(F39="Aragonite",EXP((((17.88*10^3)/(BF39+273.15))-31.14)/1000),IF(F39="Dolomite",EXP((((18.02*10^3)/(BF39+273.15))-29.38)/1000),"")))</f>
        <v>1.0315354766767277</v>
      </c>
      <c r="BL39" s="30">
        <f t="shared" ref="BL39:BL41" si="13">((AT39+1000)/BJ39)-1000</f>
        <v>1.6911908147769736</v>
      </c>
    </row>
    <row r="40" spans="1:66" ht="13.5" customHeight="1" x14ac:dyDescent="0.2">
      <c r="A40" s="22"/>
      <c r="B40" s="30" t="s">
        <v>81</v>
      </c>
      <c r="C40" s="30" t="s">
        <v>198</v>
      </c>
      <c r="D40" s="30" t="s">
        <v>69</v>
      </c>
      <c r="E40" s="30" t="s">
        <v>189</v>
      </c>
      <c r="F40" s="30" t="s">
        <v>70</v>
      </c>
      <c r="G40" s="30" t="s">
        <v>71</v>
      </c>
      <c r="H40" s="30">
        <v>-6.28</v>
      </c>
      <c r="I40" s="30" t="s">
        <v>72</v>
      </c>
      <c r="J40" s="30">
        <v>10.18</v>
      </c>
      <c r="K40" s="30" t="s">
        <v>72</v>
      </c>
      <c r="L40" s="30">
        <v>41.41</v>
      </c>
      <c r="M40" s="30" t="s">
        <v>72</v>
      </c>
      <c r="N40" s="30">
        <v>13.347</v>
      </c>
      <c r="O40" s="30" t="s">
        <v>108</v>
      </c>
      <c r="P40" s="30">
        <v>-0.36</v>
      </c>
      <c r="Q40" s="30" t="s">
        <v>199</v>
      </c>
      <c r="R40" s="30">
        <v>32.433</v>
      </c>
      <c r="S40" s="30" t="s">
        <v>109</v>
      </c>
      <c r="T40" s="30">
        <v>-0.02</v>
      </c>
      <c r="U40" s="30" t="s">
        <v>200</v>
      </c>
      <c r="V40" s="30">
        <v>-143.983</v>
      </c>
      <c r="W40" s="30" t="s">
        <v>201</v>
      </c>
      <c r="X40" s="30">
        <v>-168.64099999999999</v>
      </c>
      <c r="Y40" s="30" t="s">
        <v>202</v>
      </c>
      <c r="Z40" s="30">
        <v>-7.7435451985913093E-3</v>
      </c>
      <c r="AA40" s="30" t="s">
        <v>203</v>
      </c>
      <c r="AB40" s="30">
        <v>-0.25700000000000001</v>
      </c>
      <c r="AC40" s="30">
        <v>1.1371340973462358</v>
      </c>
      <c r="AD40" s="30">
        <v>0.93144142166509736</v>
      </c>
      <c r="AE40" s="30">
        <v>0.64</v>
      </c>
      <c r="AF40" s="30">
        <v>0</v>
      </c>
      <c r="AG40" s="30">
        <v>-8.0710090578515348E-3</v>
      </c>
      <c r="AH40" s="30" t="s">
        <v>204</v>
      </c>
      <c r="AI40" s="30">
        <v>0.24199999999999999</v>
      </c>
      <c r="AJ40" s="30">
        <v>0.56380859735672595</v>
      </c>
      <c r="AK40" s="30">
        <v>0.12260898973234684</v>
      </c>
      <c r="AL40" s="30">
        <v>0.25900000000000001</v>
      </c>
      <c r="AM40" s="30">
        <v>0</v>
      </c>
      <c r="AN40" s="30">
        <v>-6.19</v>
      </c>
      <c r="AP40" s="31"/>
      <c r="AQ40" s="30">
        <v>2.31</v>
      </c>
      <c r="AS40" s="31"/>
      <c r="AT40" s="30">
        <v>33.299999999999997</v>
      </c>
      <c r="AW40" s="30">
        <v>0.64</v>
      </c>
      <c r="BA40" s="30">
        <v>0.25900000000000001</v>
      </c>
      <c r="BF40" s="30">
        <f>SQRT((BD2*(10^6))/(AW40-BE2))-273.15</f>
        <v>10.491807385863638</v>
      </c>
      <c r="BJ40" s="30">
        <f t="shared" si="12"/>
        <v>1.0324114213192306</v>
      </c>
      <c r="BL40" s="30">
        <f t="shared" si="13"/>
        <v>0.86068273017929187</v>
      </c>
    </row>
    <row r="41" spans="1:66" ht="13.5" customHeight="1" x14ac:dyDescent="0.2">
      <c r="A41" s="22"/>
      <c r="B41" s="30" t="s">
        <v>89</v>
      </c>
      <c r="C41" s="30" t="s">
        <v>205</v>
      </c>
      <c r="D41" s="30" t="s">
        <v>69</v>
      </c>
      <c r="E41" s="30" t="s">
        <v>189</v>
      </c>
      <c r="F41" s="30" t="s">
        <v>70</v>
      </c>
      <c r="G41" s="30" t="s">
        <v>71</v>
      </c>
      <c r="H41" s="30">
        <v>-6.33</v>
      </c>
      <c r="I41" s="30" t="s">
        <v>72</v>
      </c>
      <c r="J41" s="30">
        <v>10.24</v>
      </c>
      <c r="K41" s="30" t="s">
        <v>72</v>
      </c>
      <c r="L41" s="30">
        <v>41.47</v>
      </c>
      <c r="M41" s="30" t="s">
        <v>72</v>
      </c>
      <c r="N41" s="30">
        <v>13.365</v>
      </c>
      <c r="O41" s="30" t="s">
        <v>166</v>
      </c>
      <c r="P41" s="30">
        <v>-0.35699999999999998</v>
      </c>
      <c r="Q41" s="30" t="s">
        <v>206</v>
      </c>
      <c r="R41" s="30">
        <v>32.597000000000001</v>
      </c>
      <c r="S41" s="30" t="s">
        <v>109</v>
      </c>
      <c r="T41" s="30">
        <v>1.7999999999999999E-2</v>
      </c>
      <c r="U41" s="30" t="s">
        <v>84</v>
      </c>
      <c r="V41" s="30">
        <v>-215.922</v>
      </c>
      <c r="W41" s="30" t="s">
        <v>207</v>
      </c>
      <c r="X41" s="30">
        <v>-238.56299999999999</v>
      </c>
      <c r="Y41" s="30" t="s">
        <v>208</v>
      </c>
      <c r="Z41" s="30">
        <v>-7.7129098664878012E-3</v>
      </c>
      <c r="AA41" s="30" t="s">
        <v>209</v>
      </c>
      <c r="AB41" s="30">
        <v>-0.254</v>
      </c>
      <c r="AC41" s="30">
        <v>1.1345649818690409</v>
      </c>
      <c r="AD41" s="30">
        <v>0.92935703575036743</v>
      </c>
      <c r="AE41" s="30">
        <v>0.64100000000000001</v>
      </c>
      <c r="AF41" s="30">
        <v>0</v>
      </c>
      <c r="AG41" s="30">
        <v>-7.8287865498450522E-3</v>
      </c>
      <c r="AH41" s="30" t="s">
        <v>210</v>
      </c>
      <c r="AI41" s="30">
        <v>0.27400000000000002</v>
      </c>
      <c r="AJ41" s="30">
        <v>0.90219421860945637</v>
      </c>
      <c r="AK41" s="30">
        <v>5.97272274246545E-2</v>
      </c>
      <c r="AL41" s="30">
        <v>0.307</v>
      </c>
      <c r="AM41" s="30">
        <v>0</v>
      </c>
      <c r="AN41" s="30">
        <v>-6.24</v>
      </c>
      <c r="AP41" s="31"/>
      <c r="AQ41" s="30">
        <v>2.34</v>
      </c>
      <c r="AS41" s="31"/>
      <c r="AT41" s="30">
        <v>33.33</v>
      </c>
      <c r="AW41" s="30">
        <v>0.64100000000000001</v>
      </c>
      <c r="BA41" s="30">
        <v>0.307</v>
      </c>
      <c r="BF41" s="30">
        <f>SQRT((BD2*(10^6))/(AW41-BE2))-273.15</f>
        <v>10.200444384068135</v>
      </c>
      <c r="BJ41" s="30">
        <f t="shared" si="12"/>
        <v>1.0324783442036478</v>
      </c>
      <c r="BL41" s="30">
        <f t="shared" si="13"/>
        <v>0.82486552975501581</v>
      </c>
    </row>
    <row r="42" spans="1:66" ht="13.5" customHeight="1" x14ac:dyDescent="0.2">
      <c r="A42" s="22"/>
      <c r="AP42" s="31"/>
      <c r="AS42" s="31"/>
    </row>
    <row r="43" spans="1:66" ht="13.5" customHeight="1" x14ac:dyDescent="0.2">
      <c r="A43" s="33">
        <v>3</v>
      </c>
      <c r="B43" s="34" t="str">
        <f>E45</f>
        <v>LGA-1-3</v>
      </c>
      <c r="C43" s="32"/>
      <c r="D43" s="32"/>
      <c r="E43" s="32"/>
      <c r="F43" s="32"/>
      <c r="G43" s="32"/>
      <c r="H43" s="32"/>
      <c r="I43" s="34">
        <f>STDEV(H45:H47)/SQRT(COUNT(H45:H47))</f>
        <v>1.4529663145135541E-2</v>
      </c>
      <c r="J43" s="32"/>
      <c r="K43" s="34">
        <f>STDEV(J45:J47)/SQRT(COUNT(J45:J47))</f>
        <v>2.603416558635549E-2</v>
      </c>
      <c r="L43" s="32"/>
      <c r="M43" s="34">
        <f>STDEV(L45:L47)/SQRT(COUNT(L45:L47))</f>
        <v>2.88675134594817E-2</v>
      </c>
      <c r="N43" s="32"/>
      <c r="O43" s="34">
        <f>STDEV(N45:N47)/SQRT(COUNT(N45:N47))</f>
        <v>4.347540811897091E-2</v>
      </c>
      <c r="P43" s="32"/>
      <c r="Q43" s="34">
        <f>STDEV(P45:P47)/SQRT(COUNT(P45:P47))</f>
        <v>4.7022453265552983E-3</v>
      </c>
      <c r="R43" s="32"/>
      <c r="S43" s="34">
        <f>STDEV(R45:R47)/SQRT(COUNT(R45:R47))</f>
        <v>9.025211601089711E-2</v>
      </c>
      <c r="T43" s="32"/>
      <c r="U43" s="34">
        <f>STDEV(T45:T47)/SQRT(COUNT(T45:T47))</f>
        <v>3.4176014981270118E-2</v>
      </c>
      <c r="V43" s="32"/>
      <c r="W43" s="34">
        <f>STDEV(V45:V47)/SQRT(COUNT(V45:V47))</f>
        <v>5.6271006151777136</v>
      </c>
      <c r="X43" s="32"/>
      <c r="Y43" s="34">
        <f>STDEV(X45:X47)/SQRT(COUNT(X45:X47))</f>
        <v>5.4966436526706426</v>
      </c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4">
        <f>AVERAGE(AN45:AN47)</f>
        <v>-6.0799999999999992</v>
      </c>
      <c r="AP43" s="37">
        <f>STDEV(AN45:AN47)</f>
        <v>2.6457513110645845E-2</v>
      </c>
      <c r="AQ43" s="32"/>
      <c r="AR43" s="34">
        <f>AVERAGE(AQ45:AQ47)</f>
        <v>1.4866666666666666</v>
      </c>
      <c r="AS43" s="37">
        <f>STDEV(AQ45:AQ47)</f>
        <v>5.0332229568471713E-2</v>
      </c>
      <c r="AT43" s="32"/>
      <c r="AU43" s="34">
        <f>AVERAGE(AT45:AT47)</f>
        <v>32.456666666666671</v>
      </c>
      <c r="AV43" s="34">
        <f>STDEV(AT45:AT47)</f>
        <v>5.0332229568472005E-2</v>
      </c>
      <c r="AW43" s="32"/>
      <c r="AX43" s="34">
        <f>AVERAGE(AW45:AW47)</f>
        <v>0.61866666666666659</v>
      </c>
      <c r="AY43" s="34">
        <f>STDEV(AW45:AW47)</f>
        <v>1.2503332889007379E-2</v>
      </c>
      <c r="AZ43" s="34">
        <f>STDEV(AW45:AW47)/SQRT(COUNT(AW45:AW47))</f>
        <v>7.2188026092359116E-3</v>
      </c>
      <c r="BA43" s="32"/>
      <c r="BB43" s="34">
        <f>AVERAGE(BA45:BA47)</f>
        <v>-7.3333333333333334E-2</v>
      </c>
      <c r="BC43" s="34">
        <f>STDEV(BA45:BA47)/SQRT(COUNT(BA45:BA47))</f>
        <v>0.15097939520933901</v>
      </c>
      <c r="BD43" s="32"/>
      <c r="BE43" s="32"/>
      <c r="BF43" s="32"/>
      <c r="BG43" s="34">
        <f>AVERAGE(BF45:BF47)</f>
        <v>16.981787273731015</v>
      </c>
      <c r="BH43" s="34">
        <f>STDEV(BF45:BF47)</f>
        <v>3.8619777748463733</v>
      </c>
      <c r="BI43" s="34">
        <f>STDEV(BF45:BF47)/SQRT(COUNT(BF45:BF47))</f>
        <v>2.2297139079119055</v>
      </c>
      <c r="BJ43" s="32"/>
      <c r="BK43" s="34">
        <f>AVERAGE(BJ45:BJ47)</f>
        <v>1.0309644540906551</v>
      </c>
      <c r="BL43" s="32"/>
      <c r="BM43" s="34">
        <f>AVERAGE(BL45:BL47)</f>
        <v>1.4478248884852292</v>
      </c>
      <c r="BN43" s="34">
        <f>STDEV(BL45:BL47)/SQRT(COUNT(BL45:BL47))</f>
        <v>0.45072298217844176</v>
      </c>
    </row>
    <row r="44" spans="1:66" ht="13.5" customHeight="1" x14ac:dyDescent="0.2">
      <c r="A44" s="22"/>
      <c r="B44" s="30" t="s">
        <v>212</v>
      </c>
      <c r="AN44" s="30">
        <v>-6.08</v>
      </c>
      <c r="AP44" s="31"/>
      <c r="AQ44" s="30">
        <v>1.49</v>
      </c>
      <c r="AS44" s="31"/>
      <c r="AT44" s="30">
        <v>32.450000000000003</v>
      </c>
      <c r="AW44" s="30">
        <v>0.61899999999999999</v>
      </c>
      <c r="BA44" s="30">
        <v>-7.3999999999999996E-2</v>
      </c>
    </row>
    <row r="45" spans="1:66" ht="13.5" customHeight="1" x14ac:dyDescent="0.2">
      <c r="A45" s="22"/>
      <c r="B45" s="30" t="s">
        <v>67</v>
      </c>
      <c r="C45" s="30" t="s">
        <v>213</v>
      </c>
      <c r="D45" s="30" t="s">
        <v>69</v>
      </c>
      <c r="E45" s="30" t="s">
        <v>211</v>
      </c>
      <c r="F45" s="30" t="s">
        <v>70</v>
      </c>
      <c r="G45" s="30" t="s">
        <v>214</v>
      </c>
      <c r="H45" s="30">
        <v>-6.25</v>
      </c>
      <c r="I45" s="30" t="s">
        <v>72</v>
      </c>
      <c r="J45" s="30">
        <v>9.6199999999999992</v>
      </c>
      <c r="K45" s="30" t="s">
        <v>72</v>
      </c>
      <c r="L45" s="30">
        <v>40.840000000000003</v>
      </c>
      <c r="M45" s="30" t="s">
        <v>72</v>
      </c>
      <c r="N45" s="30">
        <v>12.781000000000001</v>
      </c>
      <c r="O45" s="30" t="s">
        <v>74</v>
      </c>
      <c r="P45" s="30">
        <v>-0.41399999999999998</v>
      </c>
      <c r="Q45" s="30" t="s">
        <v>74</v>
      </c>
      <c r="R45" s="30">
        <v>30.228999999999999</v>
      </c>
      <c r="S45" s="30" t="s">
        <v>76</v>
      </c>
      <c r="T45" s="30">
        <v>-0.878</v>
      </c>
      <c r="U45" s="30" t="s">
        <v>215</v>
      </c>
      <c r="V45" s="30">
        <v>133.43100000000001</v>
      </c>
      <c r="W45" s="30" t="s">
        <v>216</v>
      </c>
      <c r="X45" s="30">
        <v>102.02500000000001</v>
      </c>
      <c r="Y45" s="30" t="s">
        <v>217</v>
      </c>
      <c r="Z45" s="30">
        <v>-8.0707340102228395E-3</v>
      </c>
      <c r="AA45" s="30" t="s">
        <v>218</v>
      </c>
      <c r="AB45" s="30">
        <v>-0.311</v>
      </c>
      <c r="AC45" s="30">
        <v>1.0032509171486073</v>
      </c>
      <c r="AD45" s="30">
        <v>0.92469319982101139</v>
      </c>
      <c r="AE45" s="30">
        <v>0.61299999999999999</v>
      </c>
      <c r="AF45" s="30">
        <v>0</v>
      </c>
      <c r="AG45" s="30">
        <v>-4.9035307449523786E-2</v>
      </c>
      <c r="AH45" s="30" t="s">
        <v>219</v>
      </c>
      <c r="AI45" s="30">
        <v>0.60499999999999998</v>
      </c>
      <c r="AJ45" s="30">
        <v>-1.2632397993495008</v>
      </c>
      <c r="AK45" s="30">
        <v>0.4030902315449631</v>
      </c>
      <c r="AL45" s="30">
        <v>-0.36099999999999999</v>
      </c>
      <c r="AM45" s="30">
        <v>0</v>
      </c>
      <c r="AN45" s="30">
        <v>-6.1</v>
      </c>
      <c r="AP45" s="31"/>
      <c r="AQ45" s="30">
        <v>1.48</v>
      </c>
      <c r="AS45" s="31"/>
      <c r="AT45" s="30">
        <v>32.450000000000003</v>
      </c>
      <c r="AW45" s="30">
        <v>0.61299999999999999</v>
      </c>
      <c r="BA45" s="30">
        <v>-0.36099999999999999</v>
      </c>
      <c r="BF45" s="30">
        <f>SQRT((BD2*(10^6))/(AW45-BE2))-273.15</f>
        <v>18.715011923637746</v>
      </c>
      <c r="BJ45" s="30">
        <f t="shared" ref="BJ45:BJ47" si="14">IF(F45="Calcite",EXP((((18.03*10^3)/(BF45+273.15))-32.42)/1000),IF(F45="Aragonite",EXP((((17.88*10^3)/(BF45+273.15))-31.14)/1000),IF(F45="Dolomite",EXP((((18.02*10^3)/(BF45+273.15))-29.38)/1000),"")))</f>
        <v>1.0305794295452062</v>
      </c>
      <c r="BL45" s="30">
        <f t="shared" ref="BL45:BL47" si="15">((AT45+1000)/BJ45)-1000</f>
        <v>1.8150667490223213</v>
      </c>
    </row>
    <row r="46" spans="1:66" ht="13.5" customHeight="1" x14ac:dyDescent="0.2">
      <c r="A46" s="22"/>
      <c r="B46" s="30" t="s">
        <v>81</v>
      </c>
      <c r="C46" s="30" t="s">
        <v>220</v>
      </c>
      <c r="D46" s="30" t="s">
        <v>69</v>
      </c>
      <c r="E46" s="30" t="s">
        <v>211</v>
      </c>
      <c r="F46" s="30" t="s">
        <v>70</v>
      </c>
      <c r="G46" s="30" t="s">
        <v>214</v>
      </c>
      <c r="H46" s="30">
        <v>-6.23</v>
      </c>
      <c r="I46" s="30" t="s">
        <v>72</v>
      </c>
      <c r="J46" s="30">
        <v>9.58</v>
      </c>
      <c r="K46" s="30" t="s">
        <v>72</v>
      </c>
      <c r="L46" s="30">
        <v>40.79</v>
      </c>
      <c r="M46" s="30" t="s">
        <v>72</v>
      </c>
      <c r="N46" s="30">
        <v>12.74</v>
      </c>
      <c r="O46" s="30" t="s">
        <v>108</v>
      </c>
      <c r="P46" s="30">
        <v>-0.42699999999999999</v>
      </c>
      <c r="Q46" s="30" t="s">
        <v>199</v>
      </c>
      <c r="R46" s="30">
        <v>30.135999999999999</v>
      </c>
      <c r="S46" s="30" t="s">
        <v>162</v>
      </c>
      <c r="T46" s="30">
        <v>-0.89</v>
      </c>
      <c r="U46" s="30" t="s">
        <v>221</v>
      </c>
      <c r="V46" s="30">
        <v>117.883</v>
      </c>
      <c r="W46" s="30" t="s">
        <v>222</v>
      </c>
      <c r="X46" s="30">
        <v>86.978999999999999</v>
      </c>
      <c r="Y46" s="30" t="s">
        <v>223</v>
      </c>
      <c r="Z46" s="30">
        <v>-8.5090761240941368E-3</v>
      </c>
      <c r="AA46" s="30" t="s">
        <v>224</v>
      </c>
      <c r="AB46" s="30">
        <v>-0.318</v>
      </c>
      <c r="AC46" s="30">
        <v>1.001461958070579</v>
      </c>
      <c r="AD46" s="30">
        <v>0.92910734911770065</v>
      </c>
      <c r="AE46" s="30">
        <v>0.61</v>
      </c>
      <c r="AF46" s="30">
        <v>0</v>
      </c>
      <c r="AG46" s="30">
        <v>-3.6186587353506085E-2</v>
      </c>
      <c r="AH46" s="30" t="s">
        <v>225</v>
      </c>
      <c r="AI46" s="30">
        <v>0.2</v>
      </c>
      <c r="AJ46" s="30">
        <v>-1.19220058194652</v>
      </c>
      <c r="AK46" s="30">
        <v>0.38824672961086698</v>
      </c>
      <c r="AL46" s="30">
        <v>0.15</v>
      </c>
      <c r="AM46" s="30">
        <v>0</v>
      </c>
      <c r="AN46" s="30">
        <v>-6.09</v>
      </c>
      <c r="AP46" s="31"/>
      <c r="AQ46" s="30">
        <v>1.44</v>
      </c>
      <c r="AS46" s="31"/>
      <c r="AT46" s="30">
        <v>32.409999999999997</v>
      </c>
      <c r="AW46" s="30">
        <v>0.61</v>
      </c>
      <c r="BA46" s="30">
        <v>0.15</v>
      </c>
      <c r="BF46" s="30">
        <f>SQRT((BD2*(10^6))/(AW46-BE2))-273.15</f>
        <v>19.673520290101919</v>
      </c>
      <c r="BJ46" s="30">
        <f t="shared" si="14"/>
        <v>1.0303727900389656</v>
      </c>
      <c r="BL46" s="30">
        <f t="shared" si="15"/>
        <v>1.9771581516214383</v>
      </c>
    </row>
    <row r="47" spans="1:66" ht="13.5" customHeight="1" x14ac:dyDescent="0.2">
      <c r="A47" s="22"/>
      <c r="B47" s="30" t="s">
        <v>89</v>
      </c>
      <c r="C47" s="30" t="s">
        <v>226</v>
      </c>
      <c r="D47" s="30" t="s">
        <v>69</v>
      </c>
      <c r="E47" s="30" t="s">
        <v>211</v>
      </c>
      <c r="F47" s="30" t="s">
        <v>70</v>
      </c>
      <c r="G47" s="30" t="s">
        <v>214</v>
      </c>
      <c r="H47" s="30">
        <v>-6.2</v>
      </c>
      <c r="I47" s="30" t="s">
        <v>72</v>
      </c>
      <c r="J47" s="30">
        <v>9.67</v>
      </c>
      <c r="K47" s="30" t="s">
        <v>72</v>
      </c>
      <c r="L47" s="30">
        <v>40.89</v>
      </c>
      <c r="M47" s="30" t="s">
        <v>72</v>
      </c>
      <c r="N47" s="30">
        <v>12.885999999999999</v>
      </c>
      <c r="O47" s="30" t="s">
        <v>166</v>
      </c>
      <c r="P47" s="30">
        <v>-0.41199999999999998</v>
      </c>
      <c r="Q47" s="30" t="s">
        <v>227</v>
      </c>
      <c r="R47" s="30">
        <v>30.440999999999999</v>
      </c>
      <c r="S47" s="30" t="s">
        <v>228</v>
      </c>
      <c r="T47" s="30">
        <v>-0.78200000000000003</v>
      </c>
      <c r="U47" s="30" t="s">
        <v>229</v>
      </c>
      <c r="V47" s="30">
        <v>115.47499999999999</v>
      </c>
      <c r="W47" s="30" t="s">
        <v>230</v>
      </c>
      <c r="X47" s="30">
        <v>84.396000000000001</v>
      </c>
      <c r="Y47" s="30" t="s">
        <v>231</v>
      </c>
      <c r="Z47" s="30">
        <v>-8.4512197290167162E-3</v>
      </c>
      <c r="AA47" s="30" t="s">
        <v>232</v>
      </c>
      <c r="AB47" s="30">
        <v>-0.30299999999999999</v>
      </c>
      <c r="AC47" s="30">
        <v>1.023663446328994</v>
      </c>
      <c r="AD47" s="30">
        <v>0.94274422934209601</v>
      </c>
      <c r="AE47" s="30">
        <v>0.63300000000000001</v>
      </c>
      <c r="AF47" s="30">
        <v>0</v>
      </c>
      <c r="AG47" s="30">
        <v>-3.6635353050874925E-2</v>
      </c>
      <c r="AH47" s="30" t="s">
        <v>233</v>
      </c>
      <c r="AI47" s="30">
        <v>0.33400000000000002</v>
      </c>
      <c r="AJ47" s="30">
        <v>-1.19220058194652</v>
      </c>
      <c r="AK47" s="30">
        <v>0.38824672961086698</v>
      </c>
      <c r="AL47" s="30">
        <v>-8.9999999999999993E-3</v>
      </c>
      <c r="AM47" s="30">
        <v>0</v>
      </c>
      <c r="AN47" s="30">
        <v>-6.05</v>
      </c>
      <c r="AP47" s="31"/>
      <c r="AQ47" s="30">
        <v>1.54</v>
      </c>
      <c r="AS47" s="31"/>
      <c r="AT47" s="30">
        <v>32.51</v>
      </c>
      <c r="AW47" s="30">
        <v>0.63300000000000001</v>
      </c>
      <c r="BA47" s="30">
        <v>-8.9999999999999993E-3</v>
      </c>
      <c r="BF47" s="30">
        <f>SQRT((BD2*(10^6))/(AW47-BE2))-273.15</f>
        <v>12.556829607453381</v>
      </c>
      <c r="BJ47" s="30">
        <f t="shared" si="14"/>
        <v>1.0319411426877936</v>
      </c>
      <c r="BL47" s="30">
        <f t="shared" si="15"/>
        <v>0.55124976481192789</v>
      </c>
    </row>
    <row r="48" spans="1:66" ht="13.5" customHeight="1" x14ac:dyDescent="0.2">
      <c r="A48" s="22"/>
      <c r="AP48" s="31"/>
      <c r="AS48" s="31"/>
    </row>
    <row r="49" spans="1:66" ht="13.5" customHeight="1" x14ac:dyDescent="0.2">
      <c r="A49" s="33">
        <v>3</v>
      </c>
      <c r="B49" s="34" t="str">
        <f>E51</f>
        <v>LGA-1-4</v>
      </c>
      <c r="C49" s="32"/>
      <c r="D49" s="32"/>
      <c r="E49" s="32"/>
      <c r="F49" s="32"/>
      <c r="G49" s="32"/>
      <c r="H49" s="32"/>
      <c r="I49" s="34">
        <f>STDEV(H51:H53)/SQRT(COUNT(H51:H53))</f>
        <v>1.1547005383792526E-2</v>
      </c>
      <c r="J49" s="32"/>
      <c r="K49" s="34">
        <f>STDEV(J51:J53)/SQRT(COUNT(J51:J53))</f>
        <v>3.0550504633038864E-2</v>
      </c>
      <c r="L49" s="32"/>
      <c r="M49" s="34">
        <f>STDEV(L51:L53)/SQRT(COUNT(L51:L53))</f>
        <v>3.0550504633039832E-2</v>
      </c>
      <c r="N49" s="32"/>
      <c r="O49" s="34">
        <f>STDEV(N51:N53)/SQRT(COUNT(N51:N53))</f>
        <v>3.3577439515907956E-2</v>
      </c>
      <c r="P49" s="32"/>
      <c r="Q49" s="34">
        <f>STDEV(P51:P53)/SQRT(COUNT(P51:P53))</f>
        <v>5.5075705472861069E-3</v>
      </c>
      <c r="R49" s="32"/>
      <c r="S49" s="34">
        <f>STDEV(R51:R53)/SQRT(COUNT(R51:R53))</f>
        <v>8.1943747642988118E-2</v>
      </c>
      <c r="T49" s="32"/>
      <c r="U49" s="34">
        <f>STDEV(T51:T53)/SQRT(COUNT(T51:T53))</f>
        <v>1.9519221295943138E-2</v>
      </c>
      <c r="V49" s="32"/>
      <c r="W49" s="34">
        <f>STDEV(V51:V53)/SQRT(COUNT(V51:V53))</f>
        <v>20.717426730492686</v>
      </c>
      <c r="X49" s="32"/>
      <c r="Y49" s="34">
        <f>STDEV(X51:X53)/SQRT(COUNT(X51:X53))</f>
        <v>20.10645046026551</v>
      </c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4">
        <f>AVERAGE(AN51:AN53)</f>
        <v>-5.2766666666666664</v>
      </c>
      <c r="AP49" s="37">
        <f>STDEV(AN51:AN53)</f>
        <v>2.3094010767585053E-2</v>
      </c>
      <c r="AQ49" s="32"/>
      <c r="AR49" s="34">
        <f>AVERAGE(AQ51:AQ53)</f>
        <v>1.6733333333333331</v>
      </c>
      <c r="AS49" s="37">
        <f>STDEV(AQ51:AQ53)</f>
        <v>5.5075705472860961E-2</v>
      </c>
      <c r="AT49" s="32"/>
      <c r="AU49" s="34">
        <f>AVERAGE(AT51:AT53)</f>
        <v>32.643333333333338</v>
      </c>
      <c r="AV49" s="34">
        <f>STDEV(AT51:AT53)</f>
        <v>5.5075705472860816E-2</v>
      </c>
      <c r="AW49" s="32"/>
      <c r="AX49" s="34">
        <f>AVERAGE(AW51:AW53)</f>
        <v>0.6256666666666667</v>
      </c>
      <c r="AY49" s="34">
        <f>STDEV(AW51:AW53)</f>
        <v>9.2376043070340214E-3</v>
      </c>
      <c r="AZ49" s="34">
        <f>STDEV(AW51:AW53)/SQRT(COUNT(AW51:AW53))</f>
        <v>5.3333333333333392E-3</v>
      </c>
      <c r="BA49" s="32"/>
      <c r="BB49" s="34">
        <f>AVERAGE(BA51:BA53)</f>
        <v>0.26733333333333337</v>
      </c>
      <c r="BC49" s="34">
        <f>STDEV(BA51:BA53)/SQRT(COUNT(BA51:BA53))</f>
        <v>1.3531855420122954E-2</v>
      </c>
      <c r="BD49" s="32"/>
      <c r="BE49" s="32"/>
      <c r="BF49" s="32"/>
      <c r="BG49" s="34">
        <f>AVERAGE(BF51:BF53)</f>
        <v>14.79718309285848</v>
      </c>
      <c r="BH49" s="34">
        <f>STDEV(BF51:BF53)</f>
        <v>2.8440515359360448</v>
      </c>
      <c r="BI49" s="34">
        <f>STDEV(BF51:BF53)/SQRT(COUNT(BF51:BF53))</f>
        <v>1.6420139198618442</v>
      </c>
      <c r="BJ49" s="32"/>
      <c r="BK49" s="34">
        <f>AVERAGE(BJ51:BJ53)</f>
        <v>1.0314430702393078</v>
      </c>
      <c r="BL49" s="32"/>
      <c r="BM49" s="34">
        <f>AVERAGE(BL51:BL53)</f>
        <v>1.1639207346572296</v>
      </c>
      <c r="BN49" s="34">
        <f>STDEV(BL51:BL53)/SQRT(COUNT(BL51:BL53))</f>
        <v>0.35231127029393872</v>
      </c>
    </row>
    <row r="50" spans="1:66" ht="13.5" customHeight="1" x14ac:dyDescent="0.2">
      <c r="A50" s="22"/>
      <c r="B50" s="30" t="s">
        <v>235</v>
      </c>
      <c r="AN50" s="30">
        <v>-5.28</v>
      </c>
      <c r="AP50" s="31"/>
      <c r="AQ50" s="30">
        <v>1.67</v>
      </c>
      <c r="AS50" s="31"/>
      <c r="AT50" s="30">
        <v>32.65</v>
      </c>
      <c r="AW50" s="30">
        <v>0.626</v>
      </c>
      <c r="BA50" s="30">
        <v>0.26700000000000002</v>
      </c>
    </row>
    <row r="51" spans="1:66" ht="13.5" customHeight="1" x14ac:dyDescent="0.2">
      <c r="A51" s="22"/>
      <c r="B51" s="30" t="s">
        <v>67</v>
      </c>
      <c r="C51" s="30" t="s">
        <v>236</v>
      </c>
      <c r="D51" s="30" t="s">
        <v>69</v>
      </c>
      <c r="E51" s="30" t="s">
        <v>234</v>
      </c>
      <c r="F51" s="30" t="s">
        <v>70</v>
      </c>
      <c r="G51" s="30" t="s">
        <v>71</v>
      </c>
      <c r="H51" s="30">
        <v>-5.37</v>
      </c>
      <c r="I51" s="30" t="s">
        <v>72</v>
      </c>
      <c r="J51" s="30">
        <v>9.6199999999999992</v>
      </c>
      <c r="K51" s="30" t="s">
        <v>72</v>
      </c>
      <c r="L51" s="30">
        <v>40.840000000000003</v>
      </c>
      <c r="M51" s="30" t="s">
        <v>72</v>
      </c>
      <c r="N51" s="30">
        <v>13.666</v>
      </c>
      <c r="O51" s="30" t="s">
        <v>74</v>
      </c>
      <c r="P51" s="30">
        <v>-0.36599999999999999</v>
      </c>
      <c r="Q51" s="30" t="s">
        <v>73</v>
      </c>
      <c r="R51" s="30">
        <v>31.363</v>
      </c>
      <c r="S51" s="30" t="s">
        <v>229</v>
      </c>
      <c r="T51" s="30">
        <v>3.4000000000000002E-2</v>
      </c>
      <c r="U51" s="30" t="s">
        <v>237</v>
      </c>
      <c r="V51" s="30">
        <v>-153.54599999999999</v>
      </c>
      <c r="W51" s="30" t="s">
        <v>238</v>
      </c>
      <c r="X51" s="30">
        <v>-177.77699999999999</v>
      </c>
      <c r="Y51" s="30" t="s">
        <v>239</v>
      </c>
      <c r="Z51" s="30">
        <v>-7.8481966198426841E-3</v>
      </c>
      <c r="AA51" s="30" t="s">
        <v>240</v>
      </c>
      <c r="AB51" s="30">
        <v>-0.25900000000000001</v>
      </c>
      <c r="AC51" s="30">
        <v>1.1105678696611039</v>
      </c>
      <c r="AD51" s="30">
        <v>0.91831664672838387</v>
      </c>
      <c r="AE51" s="30">
        <v>0.63100000000000001</v>
      </c>
      <c r="AF51" s="30">
        <v>0</v>
      </c>
      <c r="AG51" s="30">
        <v>-7.8439169121269792E-3</v>
      </c>
      <c r="AH51" s="30" t="s">
        <v>241</v>
      </c>
      <c r="AI51" s="30">
        <v>0.28000000000000003</v>
      </c>
      <c r="AJ51" s="30">
        <v>1.1582615959907616</v>
      </c>
      <c r="AK51" s="30">
        <v>-3.0238679309064348E-2</v>
      </c>
      <c r="AL51" s="30">
        <v>0.29399999999999998</v>
      </c>
      <c r="AM51" s="30">
        <v>0</v>
      </c>
      <c r="AN51" s="30">
        <v>-5.29</v>
      </c>
      <c r="AP51" s="31"/>
      <c r="AQ51" s="30">
        <v>1.73</v>
      </c>
      <c r="AS51" s="31"/>
      <c r="AT51" s="30">
        <v>32.700000000000003</v>
      </c>
      <c r="AW51" s="30">
        <v>0.63100000000000001</v>
      </c>
      <c r="BA51" s="30">
        <v>0.29399999999999998</v>
      </c>
      <c r="BF51" s="30">
        <f>SQRT((BD2*(10^6))/(AW51-BE2))-273.15</f>
        <v>13.155169172996636</v>
      </c>
      <c r="BJ51" s="30">
        <f t="shared" ref="BJ51:BJ53" si="16">IF(F51="Calcite",EXP((((18.03*10^3)/(BF51+273.15))-32.42)/1000),IF(F51="Aragonite",EXP((((17.88*10^3)/(BF51+273.15))-31.14)/1000),IF(F51="Dolomite",EXP((((18.02*10^3)/(BF51+273.15))-29.38)/1000),"")))</f>
        <v>1.0318061867637842</v>
      </c>
      <c r="BL51" s="30">
        <f t="shared" ref="BL51:BL53" si="17">((AT51+1000)/BJ51)-1000</f>
        <v>0.86626078393578609</v>
      </c>
    </row>
    <row r="52" spans="1:66" ht="13.5" customHeight="1" x14ac:dyDescent="0.2">
      <c r="A52" s="22"/>
      <c r="B52" s="30" t="s">
        <v>81</v>
      </c>
      <c r="C52" s="30" t="s">
        <v>242</v>
      </c>
      <c r="D52" s="30" t="s">
        <v>69</v>
      </c>
      <c r="E52" s="30" t="s">
        <v>234</v>
      </c>
      <c r="F52" s="30" t="s">
        <v>70</v>
      </c>
      <c r="G52" s="30" t="s">
        <v>71</v>
      </c>
      <c r="H52" s="30">
        <v>-5.39</v>
      </c>
      <c r="I52" s="30" t="s">
        <v>72</v>
      </c>
      <c r="J52" s="30">
        <v>9.5399999999999991</v>
      </c>
      <c r="K52" s="30" t="s">
        <v>72</v>
      </c>
      <c r="L52" s="30">
        <v>40.76</v>
      </c>
      <c r="M52" s="30" t="s">
        <v>72</v>
      </c>
      <c r="N52" s="30">
        <v>13.552</v>
      </c>
      <c r="O52" s="30" t="s">
        <v>227</v>
      </c>
      <c r="P52" s="30">
        <v>-0.38300000000000001</v>
      </c>
      <c r="Q52" s="30" t="s">
        <v>166</v>
      </c>
      <c r="R52" s="30">
        <v>31.138999999999999</v>
      </c>
      <c r="S52" s="30" t="s">
        <v>184</v>
      </c>
      <c r="T52" s="30">
        <v>-2.5999999999999999E-2</v>
      </c>
      <c r="U52" s="30" t="s">
        <v>185</v>
      </c>
      <c r="V52" s="30">
        <v>-150.245</v>
      </c>
      <c r="W52" s="30" t="s">
        <v>243</v>
      </c>
      <c r="X52" s="30">
        <v>-174.42599999999999</v>
      </c>
      <c r="Y52" s="30" t="s">
        <v>244</v>
      </c>
      <c r="Z52" s="30">
        <v>-7.7435451985913093E-3</v>
      </c>
      <c r="AA52" s="30" t="s">
        <v>245</v>
      </c>
      <c r="AB52" s="30">
        <v>-0.27800000000000002</v>
      </c>
      <c r="AC52" s="30">
        <v>1.1371340973462361</v>
      </c>
      <c r="AD52" s="30">
        <v>0.93144142166509758</v>
      </c>
      <c r="AE52" s="30">
        <v>0.61499999999999999</v>
      </c>
      <c r="AF52" s="30">
        <v>0</v>
      </c>
      <c r="AG52" s="30">
        <v>-8.0710090578515348E-3</v>
      </c>
      <c r="AH52" s="30" t="s">
        <v>246</v>
      </c>
      <c r="AI52" s="30">
        <v>0.22500000000000001</v>
      </c>
      <c r="AJ52" s="30">
        <v>0.5638085973567255</v>
      </c>
      <c r="AK52" s="30">
        <v>0.12260898973234695</v>
      </c>
      <c r="AL52" s="30">
        <v>0.25</v>
      </c>
      <c r="AM52" s="30">
        <v>0</v>
      </c>
      <c r="AN52" s="30">
        <v>-5.29</v>
      </c>
      <c r="AP52" s="31"/>
      <c r="AQ52" s="30">
        <v>1.67</v>
      </c>
      <c r="AS52" s="31"/>
      <c r="AT52" s="30">
        <v>32.64</v>
      </c>
      <c r="AW52" s="30">
        <v>0.61499999999999999</v>
      </c>
      <c r="BA52" s="30">
        <v>0.25</v>
      </c>
      <c r="BF52" s="30">
        <f>SQRT((BD2*(10^6))/(AW52-BE2))-273.15</f>
        <v>18.081210932582167</v>
      </c>
      <c r="BJ52" s="30">
        <f t="shared" si="16"/>
        <v>1.0307168371903548</v>
      </c>
      <c r="BL52" s="30">
        <f t="shared" si="17"/>
        <v>1.8658498049645686</v>
      </c>
    </row>
    <row r="53" spans="1:66" ht="13.5" customHeight="1" x14ac:dyDescent="0.2">
      <c r="A53" s="22"/>
      <c r="B53" s="30" t="s">
        <v>89</v>
      </c>
      <c r="C53" s="30" t="s">
        <v>247</v>
      </c>
      <c r="D53" s="30" t="s">
        <v>69</v>
      </c>
      <c r="E53" s="30" t="s">
        <v>234</v>
      </c>
      <c r="F53" s="30" t="s">
        <v>70</v>
      </c>
      <c r="G53" s="30" t="s">
        <v>71</v>
      </c>
      <c r="H53" s="30">
        <v>-5.35</v>
      </c>
      <c r="I53" s="30" t="s">
        <v>72</v>
      </c>
      <c r="J53" s="30">
        <v>9.52</v>
      </c>
      <c r="K53" s="30" t="s">
        <v>72</v>
      </c>
      <c r="L53" s="30">
        <v>40.74</v>
      </c>
      <c r="M53" s="30" t="s">
        <v>72</v>
      </c>
      <c r="N53" s="30">
        <v>13.589</v>
      </c>
      <c r="O53" s="30" t="s">
        <v>206</v>
      </c>
      <c r="P53" s="30">
        <v>-0.36699999999999999</v>
      </c>
      <c r="Q53" s="30" t="s">
        <v>130</v>
      </c>
      <c r="R53" s="30">
        <v>31.1</v>
      </c>
      <c r="S53" s="30" t="s">
        <v>248</v>
      </c>
      <c r="T53" s="30">
        <v>-2.3E-2</v>
      </c>
      <c r="U53" s="30" t="s">
        <v>249</v>
      </c>
      <c r="V53" s="30">
        <v>-213.982</v>
      </c>
      <c r="W53" s="30" t="s">
        <v>250</v>
      </c>
      <c r="X53" s="30">
        <v>-236.351</v>
      </c>
      <c r="Y53" s="30" t="s">
        <v>251</v>
      </c>
      <c r="Z53" s="30">
        <v>-7.7129098664878064E-3</v>
      </c>
      <c r="AA53" s="30" t="s">
        <v>252</v>
      </c>
      <c r="AB53" s="30">
        <v>-0.26300000000000001</v>
      </c>
      <c r="AC53" s="30">
        <v>1.1345649818690406</v>
      </c>
      <c r="AD53" s="30">
        <v>0.92935703575036721</v>
      </c>
      <c r="AE53" s="30">
        <v>0.63100000000000001</v>
      </c>
      <c r="AF53" s="30">
        <v>0</v>
      </c>
      <c r="AG53" s="30">
        <v>-7.8287865498450522E-3</v>
      </c>
      <c r="AH53" s="30" t="s">
        <v>210</v>
      </c>
      <c r="AI53" s="30">
        <v>0.22</v>
      </c>
      <c r="AJ53" s="30">
        <v>0.90219421860945759</v>
      </c>
      <c r="AK53" s="30">
        <v>5.9727227424654181E-2</v>
      </c>
      <c r="AL53" s="30">
        <v>0.25800000000000001</v>
      </c>
      <c r="AM53" s="30">
        <v>0</v>
      </c>
      <c r="AN53" s="30">
        <v>-5.25</v>
      </c>
      <c r="AP53" s="31"/>
      <c r="AQ53" s="30">
        <v>1.62</v>
      </c>
      <c r="AS53" s="31"/>
      <c r="AT53" s="30">
        <v>32.590000000000003</v>
      </c>
      <c r="AW53" s="30">
        <v>0.63100000000000001</v>
      </c>
      <c r="BA53" s="30">
        <v>0.25800000000000001</v>
      </c>
      <c r="BF53" s="30">
        <f>SQRT((BD2*(10^6))/(AW53-BE2))-273.15</f>
        <v>13.155169172996636</v>
      </c>
      <c r="BJ53" s="30">
        <f t="shared" si="16"/>
        <v>1.0318061867637842</v>
      </c>
      <c r="BL53" s="30">
        <f t="shared" si="17"/>
        <v>0.75965161507133416</v>
      </c>
    </row>
    <row r="54" spans="1:66" ht="13.5" customHeight="1" x14ac:dyDescent="0.2">
      <c r="A54" s="22"/>
      <c r="AP54" s="31"/>
      <c r="AS54" s="31"/>
    </row>
    <row r="55" spans="1:66" ht="13.5" customHeight="1" x14ac:dyDescent="0.2">
      <c r="A55" s="33">
        <v>3</v>
      </c>
      <c r="B55" s="34" t="str">
        <f>E57</f>
        <v>LGA-1-5</v>
      </c>
      <c r="C55" s="32"/>
      <c r="D55" s="32"/>
      <c r="E55" s="32"/>
      <c r="F55" s="32"/>
      <c r="G55" s="32"/>
      <c r="H55" s="32"/>
      <c r="I55" s="34">
        <f>STDEV(H57:H59)/SQRT(COUNT(H57:H59))</f>
        <v>2.3333333333333366E-2</v>
      </c>
      <c r="J55" s="32"/>
      <c r="K55" s="34">
        <f>STDEV(J57:J59)/SQRT(COUNT(J57:J59))</f>
        <v>3.2829526005986882E-2</v>
      </c>
      <c r="L55" s="32"/>
      <c r="M55" s="34">
        <f>STDEV(L57:L59)/SQRT(COUNT(L57:L59))</f>
        <v>3.2829526005989026E-2</v>
      </c>
      <c r="N55" s="32"/>
      <c r="O55" s="34">
        <f>STDEV(N57:N59)/SQRT(COUNT(N57:N59))</f>
        <v>4.6263736698772276E-2</v>
      </c>
      <c r="P55" s="32"/>
      <c r="Q55" s="34">
        <f>STDEV(P57:P59)/SQRT(COUNT(P57:P59))</f>
        <v>6.1191865835619457E-3</v>
      </c>
      <c r="R55" s="32"/>
      <c r="S55" s="34">
        <f>STDEV(R57:R59)/SQRT(COUNT(R57:R59))</f>
        <v>8.0953347333167225E-2</v>
      </c>
      <c r="T55" s="32"/>
      <c r="U55" s="34">
        <f>STDEV(T57:T59)/SQRT(COUNT(T57:T59))</f>
        <v>1.9029217301589435E-2</v>
      </c>
      <c r="V55" s="32"/>
      <c r="W55" s="34">
        <f>STDEV(V57:V59)/SQRT(COUNT(V57:V59))</f>
        <v>3.3202021190149096</v>
      </c>
      <c r="X55" s="32"/>
      <c r="Y55" s="34">
        <f>STDEV(X57:X59)/SQRT(COUNT(X57:X59))</f>
        <v>3.1915370556798766</v>
      </c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4">
        <f>AVERAGE(AN57:AN59)</f>
        <v>-2.9500000000000006</v>
      </c>
      <c r="AP55" s="37">
        <f>STDEV(AN57:AN59)</f>
        <v>4.0000000000000036E-2</v>
      </c>
      <c r="AQ55" s="32"/>
      <c r="AR55" s="34">
        <f>AVERAGE(AQ57:AQ59)</f>
        <v>1.93</v>
      </c>
      <c r="AS55" s="37">
        <f>STDEV(AQ57:AQ59)</f>
        <v>5.2915026221291732E-2</v>
      </c>
      <c r="AT55" s="32"/>
      <c r="AU55" s="34">
        <f>AVERAGE(AT57:AT59)</f>
        <v>32.910000000000004</v>
      </c>
      <c r="AV55" s="34">
        <f>STDEV(AT57:AT59)</f>
        <v>5.291502622129203E-2</v>
      </c>
      <c r="AW55" s="32"/>
      <c r="AX55" s="34">
        <f>AVERAGE(AW57:AW59)</f>
        <v>0.623</v>
      </c>
      <c r="AY55" s="34">
        <f>STDEV(AW57:AW59)</f>
        <v>1.3892443989449818E-2</v>
      </c>
      <c r="AZ55" s="34">
        <f>STDEV(AW57:AW59)/SQRT(COUNT(AW57:AW59))</f>
        <v>8.0208062770106506E-3</v>
      </c>
      <c r="BA55" s="32"/>
      <c r="BB55" s="34">
        <f>AVERAGE(BA57:BA59)</f>
        <v>6.3333333333333323E-3</v>
      </c>
      <c r="BC55" s="34">
        <f>STDEV(BA57:BA59)/SQRT(COUNT(BA57:BA59))</f>
        <v>1.5070206073943087E-2</v>
      </c>
      <c r="BD55" s="32"/>
      <c r="BE55" s="32"/>
      <c r="BF55" s="32"/>
      <c r="BG55" s="34">
        <f>AVERAGE(BF57:BF59)</f>
        <v>15.649173562823497</v>
      </c>
      <c r="BH55" s="34">
        <f>STDEV(BF57:BF59)</f>
        <v>4.2251261138598277</v>
      </c>
      <c r="BI55" s="34">
        <f>STDEV(BF57:BF59)/SQRT(COUNT(BF57:BF59))</f>
        <v>2.439377699197089</v>
      </c>
      <c r="BJ55" s="32"/>
      <c r="BK55" s="34">
        <f>AVERAGE(BJ57:BJ59)</f>
        <v>1.0312593461345998</v>
      </c>
      <c r="BL55" s="32"/>
      <c r="BM55" s="34">
        <f>AVERAGE(BL57:BL59)</f>
        <v>1.6011579885288636</v>
      </c>
      <c r="BN55" s="34">
        <f>STDEV(BL57:BL59)/SQRT(COUNT(BL57:BL59))</f>
        <v>0.51092872039048354</v>
      </c>
    </row>
    <row r="56" spans="1:66" ht="13.5" customHeight="1" x14ac:dyDescent="0.2">
      <c r="A56" s="22"/>
      <c r="B56" s="30" t="s">
        <v>254</v>
      </c>
      <c r="AN56" s="30">
        <v>-2.95</v>
      </c>
      <c r="AP56" s="31"/>
      <c r="AQ56" s="30">
        <v>1.93</v>
      </c>
      <c r="AS56" s="31"/>
      <c r="AT56" s="30">
        <v>32.909999999999997</v>
      </c>
      <c r="AW56" s="30">
        <v>0.623</v>
      </c>
      <c r="BA56" s="30">
        <v>6.0000000000000001E-3</v>
      </c>
    </row>
    <row r="57" spans="1:66" ht="13.5" customHeight="1" x14ac:dyDescent="0.2">
      <c r="A57" s="22"/>
      <c r="B57" s="30" t="s">
        <v>67</v>
      </c>
      <c r="C57" s="30" t="s">
        <v>255</v>
      </c>
      <c r="D57" s="30" t="s">
        <v>69</v>
      </c>
      <c r="E57" s="30" t="s">
        <v>253</v>
      </c>
      <c r="F57" s="30" t="s">
        <v>70</v>
      </c>
      <c r="G57" s="30" t="s">
        <v>214</v>
      </c>
      <c r="H57" s="30">
        <v>-3.11</v>
      </c>
      <c r="I57" s="30" t="s">
        <v>72</v>
      </c>
      <c r="J57" s="30">
        <v>10</v>
      </c>
      <c r="K57" s="30" t="s">
        <v>72</v>
      </c>
      <c r="L57" s="30">
        <v>41.23</v>
      </c>
      <c r="M57" s="30" t="s">
        <v>72</v>
      </c>
      <c r="N57" s="30">
        <v>16.224</v>
      </c>
      <c r="O57" s="30" t="s">
        <v>73</v>
      </c>
      <c r="P57" s="30">
        <v>-0.45</v>
      </c>
      <c r="Q57" s="30" t="s">
        <v>73</v>
      </c>
      <c r="R57" s="30">
        <v>31.085000000000001</v>
      </c>
      <c r="S57" s="30" t="s">
        <v>110</v>
      </c>
      <c r="T57" s="30">
        <v>-0.82499999999999996</v>
      </c>
      <c r="U57" s="30" t="s">
        <v>200</v>
      </c>
      <c r="V57" s="30">
        <v>123.379</v>
      </c>
      <c r="W57" s="30" t="s">
        <v>256</v>
      </c>
      <c r="X57" s="30">
        <v>87.984999999999999</v>
      </c>
      <c r="Y57" s="30" t="s">
        <v>257</v>
      </c>
      <c r="Z57" s="30">
        <v>-8.5090761240941368E-3</v>
      </c>
      <c r="AA57" s="30" t="s">
        <v>258</v>
      </c>
      <c r="AB57" s="30">
        <v>-0.312</v>
      </c>
      <c r="AC57" s="30">
        <v>1.001461958070579</v>
      </c>
      <c r="AD57" s="30">
        <v>0.92910734911770054</v>
      </c>
      <c r="AE57" s="30">
        <v>0.61599999999999999</v>
      </c>
      <c r="AF57" s="30">
        <v>0</v>
      </c>
      <c r="AG57" s="30">
        <v>-3.6186587353506085E-2</v>
      </c>
      <c r="AH57" s="30" t="s">
        <v>259</v>
      </c>
      <c r="AI57" s="30">
        <v>0.3</v>
      </c>
      <c r="AJ57" s="30">
        <v>-1.1922005819465202</v>
      </c>
      <c r="AK57" s="30">
        <v>0.38824672961086704</v>
      </c>
      <c r="AL57" s="30">
        <v>3.1E-2</v>
      </c>
      <c r="AM57" s="30">
        <v>0</v>
      </c>
      <c r="AN57" s="30">
        <v>-2.95</v>
      </c>
      <c r="AP57" s="31"/>
      <c r="AQ57" s="30">
        <v>1.87</v>
      </c>
      <c r="AS57" s="31"/>
      <c r="AT57" s="30">
        <v>32.85</v>
      </c>
      <c r="AW57" s="30">
        <v>0.61599999999999999</v>
      </c>
      <c r="BA57" s="30">
        <v>3.1E-2</v>
      </c>
      <c r="BF57" s="30">
        <f>SQRT((BD2*(10^6))/(AW57-BE2))-273.15</f>
        <v>17.7658548997195</v>
      </c>
      <c r="BJ57" s="30">
        <f t="shared" ref="BJ57:BJ59" si="18">IF(F57="Calcite",EXP((((18.03*10^3)/(BF57+273.15))-32.42)/1000),IF(F57="Aragonite",EXP((((17.88*10^3)/(BF57+273.15))-31.14)/1000),IF(F57="Dolomite",EXP((((18.02*10^3)/(BF57+273.15))-29.38)/1000),"")))</f>
        <v>1.0307854360937696</v>
      </c>
      <c r="BL57" s="30">
        <f t="shared" ref="BL57:BL59" si="19">((AT57+1000)/BJ57)-1000</f>
        <v>2.0029036440930668</v>
      </c>
    </row>
    <row r="58" spans="1:66" ht="13.5" customHeight="1" x14ac:dyDescent="0.2">
      <c r="A58" s="22"/>
      <c r="B58" s="30" t="s">
        <v>81</v>
      </c>
      <c r="C58" s="30" t="s">
        <v>260</v>
      </c>
      <c r="D58" s="30" t="s">
        <v>69</v>
      </c>
      <c r="E58" s="30" t="s">
        <v>253</v>
      </c>
      <c r="F58" s="30" t="s">
        <v>70</v>
      </c>
      <c r="G58" s="30" t="s">
        <v>214</v>
      </c>
      <c r="H58" s="30">
        <v>-3.16</v>
      </c>
      <c r="I58" s="30" t="s">
        <v>72</v>
      </c>
      <c r="J58" s="30">
        <v>10.08</v>
      </c>
      <c r="K58" s="30" t="s">
        <v>72</v>
      </c>
      <c r="L58" s="30">
        <v>41.31</v>
      </c>
      <c r="M58" s="30" t="s">
        <v>72</v>
      </c>
      <c r="N58" s="30">
        <v>16.253</v>
      </c>
      <c r="O58" s="30" t="s">
        <v>73</v>
      </c>
      <c r="P58" s="30">
        <v>-0.45800000000000002</v>
      </c>
      <c r="Q58" s="30" t="s">
        <v>74</v>
      </c>
      <c r="R58" s="30">
        <v>31.265999999999998</v>
      </c>
      <c r="S58" s="30" t="s">
        <v>148</v>
      </c>
      <c r="T58" s="30">
        <v>-0.80200000000000005</v>
      </c>
      <c r="U58" s="30" t="s">
        <v>148</v>
      </c>
      <c r="V58" s="30">
        <v>134.749</v>
      </c>
      <c r="W58" s="30" t="s">
        <v>261</v>
      </c>
      <c r="X58" s="30">
        <v>98.875</v>
      </c>
      <c r="Y58" s="30" t="s">
        <v>262</v>
      </c>
      <c r="Z58" s="30">
        <v>-8.4512197290167179E-3</v>
      </c>
      <c r="AA58" s="30" t="s">
        <v>263</v>
      </c>
      <c r="AB58" s="30">
        <v>-0.32100000000000001</v>
      </c>
      <c r="AC58" s="30">
        <v>1.0236634463289938</v>
      </c>
      <c r="AD58" s="30">
        <v>0.9427442293420959</v>
      </c>
      <c r="AE58" s="30">
        <v>0.61399999999999999</v>
      </c>
      <c r="AF58" s="30">
        <v>0</v>
      </c>
      <c r="AG58" s="30">
        <v>-3.6635353050874932E-2</v>
      </c>
      <c r="AH58" s="30" t="s">
        <v>264</v>
      </c>
      <c r="AI58" s="30">
        <v>0.34300000000000003</v>
      </c>
      <c r="AJ58" s="30">
        <v>-1.1922005819465202</v>
      </c>
      <c r="AK58" s="30">
        <v>0.38824672961086704</v>
      </c>
      <c r="AL58" s="30">
        <v>-2.1000000000000001E-2</v>
      </c>
      <c r="AM58" s="30">
        <v>0</v>
      </c>
      <c r="AN58" s="30">
        <v>-2.99</v>
      </c>
      <c r="AP58" s="31"/>
      <c r="AQ58" s="30">
        <v>1.95</v>
      </c>
      <c r="AS58" s="31"/>
      <c r="AT58" s="30">
        <v>32.93</v>
      </c>
      <c r="AW58" s="30">
        <v>0.61399999999999999</v>
      </c>
      <c r="BA58" s="30">
        <v>-2.1000000000000001E-2</v>
      </c>
      <c r="BF58" s="30">
        <f>SQRT((BD2*(10^6))/(AW58-BE2))-273.15</f>
        <v>18.397594742265028</v>
      </c>
      <c r="BJ58" s="30">
        <f t="shared" si="18"/>
        <v>1.0306481684169226</v>
      </c>
      <c r="BL58" s="30">
        <f t="shared" si="19"/>
        <v>2.2139772358808614</v>
      </c>
    </row>
    <row r="59" spans="1:66" ht="13.5" customHeight="1" x14ac:dyDescent="0.2">
      <c r="A59" s="22"/>
      <c r="B59" s="30" t="s">
        <v>89</v>
      </c>
      <c r="C59" s="30" t="s">
        <v>265</v>
      </c>
      <c r="D59" s="30" t="s">
        <v>69</v>
      </c>
      <c r="E59" s="30" t="s">
        <v>253</v>
      </c>
      <c r="F59" s="30" t="s">
        <v>70</v>
      </c>
      <c r="G59" s="30" t="s">
        <v>214</v>
      </c>
      <c r="H59" s="30">
        <v>-3.08</v>
      </c>
      <c r="I59" s="30" t="s">
        <v>72</v>
      </c>
      <c r="J59" s="30">
        <v>10.11</v>
      </c>
      <c r="K59" s="30" t="s">
        <v>72</v>
      </c>
      <c r="L59" s="30">
        <v>41.34</v>
      </c>
      <c r="M59" s="30" t="s">
        <v>72</v>
      </c>
      <c r="N59" s="30">
        <v>16.375</v>
      </c>
      <c r="O59" s="30" t="s">
        <v>227</v>
      </c>
      <c r="P59" s="30">
        <v>-0.437</v>
      </c>
      <c r="Q59" s="30" t="s">
        <v>227</v>
      </c>
      <c r="R59" s="30">
        <v>31.361000000000001</v>
      </c>
      <c r="S59" s="30" t="s">
        <v>184</v>
      </c>
      <c r="T59" s="30">
        <v>-0.76</v>
      </c>
      <c r="U59" s="30" t="s">
        <v>215</v>
      </c>
      <c r="V59" s="30">
        <v>127.562</v>
      </c>
      <c r="W59" s="30" t="s">
        <v>266</v>
      </c>
      <c r="X59" s="30">
        <v>91.778000000000006</v>
      </c>
      <c r="Y59" s="30" t="s">
        <v>267</v>
      </c>
      <c r="Z59" s="30">
        <v>-8.5783991970698678E-3</v>
      </c>
      <c r="AA59" s="30" t="s">
        <v>268</v>
      </c>
      <c r="AB59" s="30">
        <v>-0.29699999999999999</v>
      </c>
      <c r="AC59" s="30">
        <v>1.025096762718668</v>
      </c>
      <c r="AD59" s="30">
        <v>0.94366615452465163</v>
      </c>
      <c r="AE59" s="30">
        <v>0.63900000000000001</v>
      </c>
      <c r="AF59" s="30">
        <v>0</v>
      </c>
      <c r="AG59" s="30">
        <v>-3.4396679126568998E-2</v>
      </c>
      <c r="AH59" s="30" t="s">
        <v>269</v>
      </c>
      <c r="AI59" s="30">
        <v>0.318</v>
      </c>
      <c r="AJ59" s="30">
        <v>-1.1922005819465198</v>
      </c>
      <c r="AK59" s="30">
        <v>0.38824672961086698</v>
      </c>
      <c r="AL59" s="30">
        <v>8.9999999999999993E-3</v>
      </c>
      <c r="AM59" s="30">
        <v>0</v>
      </c>
      <c r="AN59" s="30">
        <v>-2.91</v>
      </c>
      <c r="AP59" s="31"/>
      <c r="AQ59" s="30">
        <v>1.97</v>
      </c>
      <c r="AS59" s="31"/>
      <c r="AT59" s="30">
        <v>32.950000000000003</v>
      </c>
      <c r="AW59" s="30">
        <v>0.63900000000000001</v>
      </c>
      <c r="BA59" s="30">
        <v>8.9999999999999993E-3</v>
      </c>
      <c r="BF59" s="30">
        <f>SQRT((BD2*(10^6))/(AW59-BE2))-273.15</f>
        <v>10.784071046485963</v>
      </c>
      <c r="BJ59" s="30">
        <f t="shared" si="18"/>
        <v>1.0323444338931076</v>
      </c>
      <c r="BL59" s="30">
        <f t="shared" si="19"/>
        <v>0.58659308561266243</v>
      </c>
    </row>
    <row r="60" spans="1:66" ht="13.5" customHeight="1" x14ac:dyDescent="0.2">
      <c r="A60" s="22"/>
      <c r="AP60" s="31"/>
      <c r="AS60" s="31"/>
    </row>
    <row r="61" spans="1:66" ht="13.5" customHeight="1" x14ac:dyDescent="0.2">
      <c r="A61" s="33">
        <v>3</v>
      </c>
      <c r="B61" s="34" t="str">
        <f>E63</f>
        <v>LGA-1-6</v>
      </c>
      <c r="C61" s="32"/>
      <c r="D61" s="32"/>
      <c r="E61" s="32"/>
      <c r="F61" s="32"/>
      <c r="G61" s="32"/>
      <c r="H61" s="32"/>
      <c r="I61" s="34">
        <f>STDEV(H63:H65)/SQRT(COUNT(H63:H65))</f>
        <v>8.8756846371295536E-2</v>
      </c>
      <c r="J61" s="32"/>
      <c r="K61" s="34">
        <f>STDEV(J63:J65)/SQRT(COUNT(J63:J65))</f>
        <v>0.17371752294393827</v>
      </c>
      <c r="L61" s="32"/>
      <c r="M61" s="34">
        <f>STDEV(L63:L65)/SQRT(COUNT(L63:L65))</f>
        <v>0.17704362299852822</v>
      </c>
      <c r="N61" s="32"/>
      <c r="O61" s="34">
        <f>STDEV(N63:N65)/SQRT(COUNT(N63:N65))</f>
        <v>0.25492242828838008</v>
      </c>
      <c r="P61" s="32"/>
      <c r="Q61" s="34">
        <f>STDEV(P63:P65)/SQRT(COUNT(P63:P65))</f>
        <v>1.6333333333333328E-2</v>
      </c>
      <c r="R61" s="32"/>
      <c r="S61" s="34">
        <f>STDEV(R63:R65)/SQRT(COUNT(R63:R65))</f>
        <v>0.36494246121820284</v>
      </c>
      <c r="T61" s="32"/>
      <c r="U61" s="34">
        <f>STDEV(T63:T65)/SQRT(COUNT(T63:T65))</f>
        <v>9.0338253248554684E-2</v>
      </c>
      <c r="V61" s="32"/>
      <c r="W61" s="34">
        <f>STDEV(V63:V65)/SQRT(COUNT(V63:V65))</f>
        <v>10.334031949502222</v>
      </c>
      <c r="X61" s="32"/>
      <c r="Y61" s="34">
        <f>STDEV(X63:X65)/SQRT(COUNT(X63:X65))</f>
        <v>9.7807077169520049</v>
      </c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4">
        <f>AVERAGE(AN63:AN65)</f>
        <v>-6.7600000000000007</v>
      </c>
      <c r="AP61" s="37">
        <f>STDEV(AN63:AN65)</f>
        <v>0.14933184523068044</v>
      </c>
      <c r="AQ61" s="32"/>
      <c r="AR61" s="34">
        <f>AVERAGE(AQ63:AQ65)</f>
        <v>1.4366666666666668</v>
      </c>
      <c r="AS61" s="37">
        <f>STDEV(AQ63:AQ65)</f>
        <v>0.29194748386196628</v>
      </c>
      <c r="AT61" s="32"/>
      <c r="AU61" s="34">
        <f>AVERAGE(AT63:AT65)</f>
        <v>32.403333333333336</v>
      </c>
      <c r="AV61" s="34">
        <f>STDEV(AT63:AT65)</f>
        <v>0.29771350881902142</v>
      </c>
      <c r="AW61" s="32"/>
      <c r="AX61" s="34">
        <f>AVERAGE(AW63:AW65)</f>
        <v>0.63966666666666672</v>
      </c>
      <c r="AY61" s="34">
        <f>STDEV(AW63:AW65)</f>
        <v>3.0038863715748886E-2</v>
      </c>
      <c r="AZ61" s="34">
        <f>STDEV(AW63:AW65)/SQRT(COUNT(AW63:AW65))</f>
        <v>1.7342946052438104E-2</v>
      </c>
      <c r="BA61" s="32"/>
      <c r="BB61" s="34">
        <f>AVERAGE(BA63:BA65)</f>
        <v>0.20833333333333334</v>
      </c>
      <c r="BC61" s="34">
        <f>STDEV(BA63:BA65)/SQRT(COUNT(BA63:BA65))</f>
        <v>8.6008397522825894E-2</v>
      </c>
      <c r="BD61" s="32"/>
      <c r="BE61" s="32"/>
      <c r="BF61" s="32"/>
      <c r="BG61" s="34">
        <f>AVERAGE(BF63:BF65)</f>
        <v>10.869326033884667</v>
      </c>
      <c r="BH61" s="34">
        <f>STDEV(BF63:BF65)</f>
        <v>9.0307588537172219</v>
      </c>
      <c r="BI61" s="34">
        <f>STDEV(BF63:BF65)/SQRT(COUNT(BF63:BF65))</f>
        <v>5.2139110551802341</v>
      </c>
      <c r="BJ61" s="32"/>
      <c r="BK61" s="34">
        <f>AVERAGE(BJ63:BJ65)</f>
        <v>1.0323692966357203</v>
      </c>
      <c r="BL61" s="32"/>
      <c r="BM61" s="34">
        <f>AVERAGE(BL63:BL65)</f>
        <v>3.5710599664677524E-2</v>
      </c>
      <c r="BN61" s="34">
        <f>STDEV(BL63:BL65)/SQRT(COUNT(BL63:BL65))</f>
        <v>1.2168382265548587</v>
      </c>
    </row>
    <row r="62" spans="1:66" ht="13.5" customHeight="1" x14ac:dyDescent="0.2">
      <c r="A62" s="22"/>
      <c r="B62" s="30" t="s">
        <v>271</v>
      </c>
      <c r="AN62" s="30">
        <v>-6.76</v>
      </c>
      <c r="AP62" s="31"/>
      <c r="AQ62" s="30">
        <v>1.44</v>
      </c>
      <c r="AS62" s="31"/>
      <c r="AT62" s="30">
        <v>32.4</v>
      </c>
      <c r="AW62" s="30">
        <v>0.64</v>
      </c>
      <c r="BA62" s="30">
        <v>0.20799999999999999</v>
      </c>
    </row>
    <row r="63" spans="1:66" ht="13.5" customHeight="1" x14ac:dyDescent="0.2">
      <c r="A63" s="22"/>
      <c r="B63" s="30" t="s">
        <v>67</v>
      </c>
      <c r="C63" s="30" t="s">
        <v>272</v>
      </c>
      <c r="D63" s="30" t="s">
        <v>69</v>
      </c>
      <c r="E63" s="30" t="s">
        <v>270</v>
      </c>
      <c r="F63" s="30" t="s">
        <v>70</v>
      </c>
      <c r="G63" s="30" t="s">
        <v>71</v>
      </c>
      <c r="H63" s="30">
        <v>-6.76</v>
      </c>
      <c r="I63" s="30" t="s">
        <v>72</v>
      </c>
      <c r="J63" s="30">
        <v>9.5299999999999994</v>
      </c>
      <c r="K63" s="30" t="s">
        <v>72</v>
      </c>
      <c r="L63" s="30">
        <v>40.74</v>
      </c>
      <c r="M63" s="30" t="s">
        <v>72</v>
      </c>
      <c r="N63" s="30">
        <v>12.241</v>
      </c>
      <c r="O63" s="30" t="s">
        <v>108</v>
      </c>
      <c r="P63" s="30">
        <v>-0.33100000000000002</v>
      </c>
      <c r="Q63" s="30" t="s">
        <v>108</v>
      </c>
      <c r="R63" s="30">
        <v>31.207999999999998</v>
      </c>
      <c r="S63" s="30" t="s">
        <v>273</v>
      </c>
      <c r="T63" s="30">
        <v>7.2999999999999995E-2</v>
      </c>
      <c r="U63" s="30" t="s">
        <v>274</v>
      </c>
      <c r="V63" s="30">
        <v>-145.374</v>
      </c>
      <c r="W63" s="30" t="s">
        <v>275</v>
      </c>
      <c r="X63" s="30">
        <v>-168.52600000000001</v>
      </c>
      <c r="Y63" s="30" t="s">
        <v>276</v>
      </c>
      <c r="Z63" s="30">
        <v>-7.8600323326205677E-3</v>
      </c>
      <c r="AA63" s="30" t="s">
        <v>277</v>
      </c>
      <c r="AB63" s="30">
        <v>-0.23499999999999999</v>
      </c>
      <c r="AC63" s="30">
        <v>1.1153907918651664</v>
      </c>
      <c r="AD63" s="30">
        <v>0.92021636980969368</v>
      </c>
      <c r="AE63" s="30">
        <v>0.65800000000000003</v>
      </c>
      <c r="AF63" s="30">
        <v>0</v>
      </c>
      <c r="AG63" s="30">
        <v>-8.1835608084490519E-3</v>
      </c>
      <c r="AH63" s="30" t="s">
        <v>278</v>
      </c>
      <c r="AI63" s="30">
        <v>0.32800000000000001</v>
      </c>
      <c r="AJ63" s="30">
        <v>1.1582615959907552</v>
      </c>
      <c r="AK63" s="30">
        <v>-3.0238679309062787E-2</v>
      </c>
      <c r="AL63" s="30">
        <v>0.35</v>
      </c>
      <c r="AM63" s="30">
        <v>0</v>
      </c>
      <c r="AN63" s="30">
        <v>-6.7</v>
      </c>
      <c r="AP63" s="31"/>
      <c r="AQ63" s="30">
        <v>1.62</v>
      </c>
      <c r="AS63" s="31"/>
      <c r="AT63" s="30">
        <v>32.590000000000003</v>
      </c>
      <c r="AW63" s="30">
        <v>0.65800000000000003</v>
      </c>
      <c r="BA63" s="30">
        <v>0.35</v>
      </c>
      <c r="BF63" s="30">
        <f>SQRT((BD2*(10^6))/(AW63-BE2))-273.15</f>
        <v>5.3807255571009591</v>
      </c>
      <c r="BJ63" s="30">
        <f t="shared" ref="BJ63:BJ65" si="20">IF(F63="Calcite",EXP((((18.03*10^3)/(BF63+273.15))-32.42)/1000),IF(F63="Aragonite",EXP((((17.88*10^3)/(BF63+273.15))-31.14)/1000),IF(F63="Dolomite",EXP((((18.02*10^3)/(BF63+273.15))-29.38)/1000),"")))</f>
        <v>1.0336063472953876</v>
      </c>
      <c r="BL63" s="30">
        <f t="shared" ref="BL63:BL65" si="21">((AT63+1000)/BJ63)-1000</f>
        <v>-0.98330210340441226</v>
      </c>
    </row>
    <row r="64" spans="1:66" ht="13.5" customHeight="1" x14ac:dyDescent="0.2">
      <c r="A64" s="22"/>
      <c r="B64" s="30" t="s">
        <v>81</v>
      </c>
      <c r="C64" s="30" t="s">
        <v>279</v>
      </c>
      <c r="D64" s="30" t="s">
        <v>69</v>
      </c>
      <c r="E64" s="30" t="s">
        <v>270</v>
      </c>
      <c r="F64" s="30" t="s">
        <v>70</v>
      </c>
      <c r="G64" s="30" t="s">
        <v>71</v>
      </c>
      <c r="H64" s="30">
        <v>-7.01</v>
      </c>
      <c r="I64" s="30" t="s">
        <v>72</v>
      </c>
      <c r="J64" s="30">
        <v>8.99</v>
      </c>
      <c r="K64" s="30" t="s">
        <v>72</v>
      </c>
      <c r="L64" s="30">
        <v>40.19</v>
      </c>
      <c r="M64" s="30" t="s">
        <v>72</v>
      </c>
      <c r="N64" s="30">
        <v>11.448</v>
      </c>
      <c r="O64" s="30" t="s">
        <v>130</v>
      </c>
      <c r="P64" s="30">
        <v>-0.33100000000000002</v>
      </c>
      <c r="Q64" s="30" t="s">
        <v>146</v>
      </c>
      <c r="R64" s="30">
        <v>29.969000000000001</v>
      </c>
      <c r="S64" s="30" t="s">
        <v>157</v>
      </c>
      <c r="T64" s="30">
        <v>-6.2E-2</v>
      </c>
      <c r="U64" s="30" t="s">
        <v>83</v>
      </c>
      <c r="V64" s="30">
        <v>-159.59200000000001</v>
      </c>
      <c r="W64" s="30" t="s">
        <v>280</v>
      </c>
      <c r="X64" s="30">
        <v>-181.28100000000001</v>
      </c>
      <c r="Y64" s="30" t="s">
        <v>281</v>
      </c>
      <c r="Z64" s="30">
        <v>-7.7377938173666715E-3</v>
      </c>
      <c r="AA64" s="30" t="s">
        <v>282</v>
      </c>
      <c r="AB64" s="30">
        <v>-0.24199999999999999</v>
      </c>
      <c r="AC64" s="30">
        <v>1.1372220844240983</v>
      </c>
      <c r="AD64" s="30">
        <v>0.9315208479095286</v>
      </c>
      <c r="AE64" s="30">
        <v>0.65600000000000003</v>
      </c>
      <c r="AF64" s="30">
        <v>0</v>
      </c>
      <c r="AG64" s="30">
        <v>-7.9097486257935553E-3</v>
      </c>
      <c r="AH64" s="30" t="s">
        <v>283</v>
      </c>
      <c r="AI64" s="30">
        <v>0.17499999999999999</v>
      </c>
      <c r="AJ64" s="30">
        <v>0.54510530887562891</v>
      </c>
      <c r="AK64" s="30">
        <v>0.12652833496087243</v>
      </c>
      <c r="AL64" s="30">
        <v>0.222</v>
      </c>
      <c r="AM64" s="30">
        <v>0</v>
      </c>
      <c r="AN64" s="30">
        <v>-6.93</v>
      </c>
      <c r="AP64" s="31"/>
      <c r="AQ64" s="30">
        <v>1.1000000000000001</v>
      </c>
      <c r="AS64" s="31"/>
      <c r="AT64" s="30">
        <v>32.06</v>
      </c>
      <c r="AW64" s="30">
        <v>0.65600000000000003</v>
      </c>
      <c r="BA64" s="30">
        <v>0.222</v>
      </c>
      <c r="BF64" s="30">
        <f>SQRT((BD2*(10^6))/(AW64-BE2))-273.15</f>
        <v>5.9350161064535882</v>
      </c>
      <c r="BJ64" s="30">
        <f t="shared" si="20"/>
        <v>1.0334745753855628</v>
      </c>
      <c r="BL64" s="30">
        <f t="shared" si="21"/>
        <v>-1.3687568318117656</v>
      </c>
    </row>
    <row r="65" spans="1:66" ht="13.5" customHeight="1" x14ac:dyDescent="0.2">
      <c r="A65" s="22"/>
      <c r="B65" s="30" t="s">
        <v>89</v>
      </c>
      <c r="C65" s="30" t="s">
        <v>284</v>
      </c>
      <c r="D65" s="30" t="s">
        <v>69</v>
      </c>
      <c r="E65" s="30" t="s">
        <v>270</v>
      </c>
      <c r="F65" s="30" t="s">
        <v>70</v>
      </c>
      <c r="G65" s="30" t="s">
        <v>71</v>
      </c>
      <c r="H65" s="30">
        <v>-6.73</v>
      </c>
      <c r="I65" s="30" t="s">
        <v>72</v>
      </c>
      <c r="J65" s="30">
        <v>9.49</v>
      </c>
      <c r="K65" s="30" t="s">
        <v>72</v>
      </c>
      <c r="L65" s="30">
        <v>40.700000000000003</v>
      </c>
      <c r="M65" s="30" t="s">
        <v>72</v>
      </c>
      <c r="N65" s="30">
        <v>12.180999999999999</v>
      </c>
      <c r="O65" s="30" t="s">
        <v>108</v>
      </c>
      <c r="P65" s="30">
        <v>-0.38</v>
      </c>
      <c r="Q65" s="30" t="s">
        <v>199</v>
      </c>
      <c r="R65" s="30">
        <v>30.806000000000001</v>
      </c>
      <c r="S65" s="30" t="s">
        <v>192</v>
      </c>
      <c r="T65" s="30">
        <v>-0.23899999999999999</v>
      </c>
      <c r="U65" s="30" t="s">
        <v>237</v>
      </c>
      <c r="V65" s="30">
        <v>-124.03100000000001</v>
      </c>
      <c r="W65" s="30" t="s">
        <v>285</v>
      </c>
      <c r="X65" s="30">
        <v>-147.72</v>
      </c>
      <c r="Y65" s="30" t="s">
        <v>286</v>
      </c>
      <c r="Z65" s="30">
        <v>-7.7203916243908698E-3</v>
      </c>
      <c r="AA65" s="30" t="s">
        <v>287</v>
      </c>
      <c r="AB65" s="30">
        <v>-0.28599999999999998</v>
      </c>
      <c r="AC65" s="30">
        <v>1.1238429252521662</v>
      </c>
      <c r="AD65" s="30">
        <v>0.92669655809476625</v>
      </c>
      <c r="AE65" s="30">
        <v>0.60499999999999998</v>
      </c>
      <c r="AF65" s="30">
        <v>0</v>
      </c>
      <c r="AG65" s="30">
        <v>-7.4919770788327567E-3</v>
      </c>
      <c r="AH65" s="30" t="s">
        <v>288</v>
      </c>
      <c r="AI65" s="30">
        <v>-8.0000000000000002E-3</v>
      </c>
      <c r="AJ65" s="30">
        <v>0.90219421860945392</v>
      </c>
      <c r="AK65" s="30">
        <v>5.9727227424655055E-2</v>
      </c>
      <c r="AL65" s="30">
        <v>5.2999999999999999E-2</v>
      </c>
      <c r="AM65" s="30">
        <v>0</v>
      </c>
      <c r="AN65" s="30">
        <v>-6.65</v>
      </c>
      <c r="AP65" s="31"/>
      <c r="AQ65" s="30">
        <v>1.59</v>
      </c>
      <c r="AS65" s="31"/>
      <c r="AT65" s="30">
        <v>32.56</v>
      </c>
      <c r="AW65" s="30">
        <v>0.60499999999999998</v>
      </c>
      <c r="BA65" s="30">
        <v>5.2999999999999999E-2</v>
      </c>
      <c r="BF65" s="30">
        <f>SQRT((BD2*(10^6))/(AW65-BE2))-273.15</f>
        <v>21.292236438099451</v>
      </c>
      <c r="BJ65" s="30">
        <f t="shared" si="20"/>
        <v>1.0300269672262106</v>
      </c>
      <c r="BL65" s="30">
        <f t="shared" si="21"/>
        <v>2.4591907342102104</v>
      </c>
    </row>
    <row r="66" spans="1:66" ht="13.5" customHeight="1" x14ac:dyDescent="0.2">
      <c r="A66" s="22"/>
      <c r="AP66" s="31"/>
      <c r="AS66" s="31"/>
    </row>
    <row r="67" spans="1:66" ht="13.5" customHeight="1" x14ac:dyDescent="0.2">
      <c r="A67" s="33">
        <v>3</v>
      </c>
      <c r="B67" s="34" t="str">
        <f>E69</f>
        <v>LGA-1-7</v>
      </c>
      <c r="C67" s="32"/>
      <c r="D67" s="32"/>
      <c r="E67" s="32"/>
      <c r="F67" s="32"/>
      <c r="G67" s="32"/>
      <c r="H67" s="32"/>
      <c r="I67" s="34">
        <f>STDEV(H69:H71)/SQRT(COUNT(H69:H71))</f>
        <v>2.0275875100994146E-2</v>
      </c>
      <c r="J67" s="32"/>
      <c r="K67" s="34">
        <f>STDEV(J69:J71)/SQRT(COUNT(J69:J71))</f>
        <v>3.4641016151377838E-2</v>
      </c>
      <c r="L67" s="32"/>
      <c r="M67" s="34">
        <f>STDEV(L69:L71)/SQRT(COUNT(L69:L71))</f>
        <v>3.4641016151376811E-2</v>
      </c>
      <c r="N67" s="32"/>
      <c r="O67" s="34">
        <f>STDEV(N69:N71)/SQRT(COUNT(N69:N71))</f>
        <v>4.6032597145935585E-2</v>
      </c>
      <c r="P67" s="32"/>
      <c r="Q67" s="34">
        <f>STDEV(P69:P71)/SQRT(COUNT(P69:P71))</f>
        <v>1.4621141466307535E-2</v>
      </c>
      <c r="R67" s="32"/>
      <c r="S67" s="34">
        <f>STDEV(R69:R71)/SQRT(COUNT(R69:R71))</f>
        <v>0.10929928331573517</v>
      </c>
      <c r="T67" s="32"/>
      <c r="U67" s="34">
        <f>STDEV(T69:T71)/SQRT(COUNT(T69:T71))</f>
        <v>5.313295692045672E-2</v>
      </c>
      <c r="V67" s="32"/>
      <c r="W67" s="34">
        <f>STDEV(V69:V71)/SQRT(COUNT(V69:V71))</f>
        <v>12.871009185158849</v>
      </c>
      <c r="X67" s="32"/>
      <c r="Y67" s="34">
        <f>STDEV(X69:X71)/SQRT(COUNT(X69:X71))</f>
        <v>12.563786862778814</v>
      </c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4">
        <f>AVERAGE(AN69:AN71)</f>
        <v>-5.7633333333333328</v>
      </c>
      <c r="AP67" s="37">
        <f>STDEV(AN69:AN71)</f>
        <v>3.5118845842842181E-2</v>
      </c>
      <c r="AQ67" s="32"/>
      <c r="AR67" s="34">
        <f>AVERAGE(AQ69:AQ71)</f>
        <v>1.1100000000000001</v>
      </c>
      <c r="AS67" s="37">
        <f>STDEV(AQ69:AQ71)</f>
        <v>5.9999999999999942E-2</v>
      </c>
      <c r="AT67" s="32"/>
      <c r="AU67" s="34">
        <f>AVERAGE(AT69:AT71)</f>
        <v>32.07</v>
      </c>
      <c r="AV67" s="34">
        <f>STDEV(AT69:AT71)</f>
        <v>6.0000000000002274E-2</v>
      </c>
      <c r="AW67" s="32"/>
      <c r="AX67" s="34">
        <f>AVERAGE(AW69:AW71)</f>
        <v>0.6343333333333333</v>
      </c>
      <c r="AY67" s="34">
        <f>STDEV(AW69:AW71)</f>
        <v>2.6083200212652865E-2</v>
      </c>
      <c r="AZ67" s="34">
        <f>STDEV(AW69:AW71)/SQRT(COUNT(AW69:AW71))</f>
        <v>1.5059142664102037E-2</v>
      </c>
      <c r="BA67" s="32"/>
      <c r="BB67" s="34">
        <f>AVERAGE(BA69:BA71)</f>
        <v>6.7333333333333342E-2</v>
      </c>
      <c r="BC67" s="34">
        <f>STDEV(BA69:BA71)/SQRT(COUNT(BA69:BA71))</f>
        <v>4.7715592606377408E-2</v>
      </c>
      <c r="BD67" s="32"/>
      <c r="BE67" s="32"/>
      <c r="BF67" s="32"/>
      <c r="BG67" s="34">
        <f>AVERAGE(BF69:BF71)</f>
        <v>12.367519160832765</v>
      </c>
      <c r="BH67" s="34">
        <f>STDEV(BF69:BF71)</f>
        <v>7.6536943496849759</v>
      </c>
      <c r="BI67" s="34">
        <f>STDEV(BF69:BF71)/SQRT(COUNT(BF69:BF71))</f>
        <v>4.4188624930857392</v>
      </c>
      <c r="BJ67" s="32"/>
      <c r="BK67" s="34">
        <f>AVERAGE(BJ69:BJ71)</f>
        <v>1.032016195217536</v>
      </c>
      <c r="BL67" s="32"/>
      <c r="BM67" s="34">
        <f>AVERAGE(BL69:BL71)</f>
        <v>5.3985102668396699E-2</v>
      </c>
      <c r="BN67" s="34">
        <f>STDEV(BL69:BL71)/SQRT(COUNT(BL69:BL71))</f>
        <v>0.94513204296459574</v>
      </c>
    </row>
    <row r="68" spans="1:66" ht="13.5" customHeight="1" x14ac:dyDescent="0.2">
      <c r="A68" s="22"/>
      <c r="B68" s="30" t="s">
        <v>290</v>
      </c>
      <c r="AN68" s="30">
        <v>-5.76</v>
      </c>
      <c r="AP68" s="31"/>
      <c r="AQ68" s="30">
        <v>1.1100000000000001</v>
      </c>
      <c r="AS68" s="31"/>
      <c r="AT68" s="30">
        <v>32.07</v>
      </c>
      <c r="AW68" s="30">
        <v>0.63400000000000001</v>
      </c>
      <c r="BA68" s="30">
        <v>6.7000000000000004E-2</v>
      </c>
    </row>
    <row r="69" spans="1:66" ht="13.5" customHeight="1" x14ac:dyDescent="0.2">
      <c r="A69" s="22"/>
      <c r="B69" s="30" t="s">
        <v>67</v>
      </c>
      <c r="C69" s="30" t="s">
        <v>291</v>
      </c>
      <c r="D69" s="30" t="s">
        <v>69</v>
      </c>
      <c r="E69" s="30" t="s">
        <v>289</v>
      </c>
      <c r="F69" s="30" t="s">
        <v>70</v>
      </c>
      <c r="G69" s="30" t="s">
        <v>214</v>
      </c>
      <c r="H69" s="30">
        <v>-5.95</v>
      </c>
      <c r="I69" s="30" t="s">
        <v>72</v>
      </c>
      <c r="J69" s="30">
        <v>9.25</v>
      </c>
      <c r="K69" s="30" t="s">
        <v>72</v>
      </c>
      <c r="L69" s="30">
        <v>40.450000000000003</v>
      </c>
      <c r="M69" s="30" t="s">
        <v>72</v>
      </c>
      <c r="N69" s="30">
        <v>12.689</v>
      </c>
      <c r="O69" s="30" t="s">
        <v>74</v>
      </c>
      <c r="P69" s="30">
        <v>-0.41599999999999998</v>
      </c>
      <c r="Q69" s="30" t="s">
        <v>73</v>
      </c>
      <c r="R69" s="30">
        <v>29.489000000000001</v>
      </c>
      <c r="S69" s="30" t="s">
        <v>75</v>
      </c>
      <c r="T69" s="30">
        <v>-0.86099999999999999</v>
      </c>
      <c r="U69" s="30" t="s">
        <v>75</v>
      </c>
      <c r="V69" s="30">
        <v>122.81699999999999</v>
      </c>
      <c r="W69" s="30" t="s">
        <v>292</v>
      </c>
      <c r="X69" s="30">
        <v>92.186999999999998</v>
      </c>
      <c r="Y69" s="30" t="s">
        <v>293</v>
      </c>
      <c r="Z69" s="30">
        <v>-8.4628689853400961E-3</v>
      </c>
      <c r="AA69" s="30" t="s">
        <v>294</v>
      </c>
      <c r="AB69" s="30">
        <v>-0.308</v>
      </c>
      <c r="AC69" s="30">
        <v>1.0249558755700745</v>
      </c>
      <c r="AD69" s="30">
        <v>0.94361829754144533</v>
      </c>
      <c r="AE69" s="30">
        <v>0.628</v>
      </c>
      <c r="AF69" s="30">
        <v>0</v>
      </c>
      <c r="AG69" s="30">
        <v>-3.6622630933684092E-2</v>
      </c>
      <c r="AH69" s="30" t="s">
        <v>295</v>
      </c>
      <c r="AI69" s="30">
        <v>0.219</v>
      </c>
      <c r="AJ69" s="30">
        <v>-1.1922005819465198</v>
      </c>
      <c r="AK69" s="30">
        <v>0.38824672961086698</v>
      </c>
      <c r="AL69" s="30">
        <v>0.127</v>
      </c>
      <c r="AM69" s="30">
        <v>0</v>
      </c>
      <c r="AN69" s="30">
        <v>-5.8</v>
      </c>
      <c r="AP69" s="31"/>
      <c r="AQ69" s="30">
        <v>1.1100000000000001</v>
      </c>
      <c r="AS69" s="31"/>
      <c r="AT69" s="30">
        <v>32.07</v>
      </c>
      <c r="AW69" s="30">
        <v>0.628</v>
      </c>
      <c r="BA69" s="30">
        <v>0.127</v>
      </c>
      <c r="BF69" s="30">
        <f>SQRT((BD2*(10^6))/(AW69-BE2))-273.15</f>
        <v>14.059769117962389</v>
      </c>
      <c r="BJ69" s="30">
        <f t="shared" ref="BJ69:BJ71" si="22">IF(F69="Calcite",EXP((((18.03*10^3)/(BF69+273.15))-32.42)/1000),IF(F69="Aragonite",EXP((((17.88*10^3)/(BF69+273.15))-31.14)/1000),IF(F69="Dolomite",EXP((((18.02*10^3)/(BF69+273.15))-29.38)/1000),"")))</f>
        <v>1.031603254504398</v>
      </c>
      <c r="BL69" s="30">
        <f t="shared" ref="BL69:BL71" si="23">((AT69+1000)/BJ69)-1000</f>
        <v>0.45244670716567725</v>
      </c>
    </row>
    <row r="70" spans="1:66" ht="13.5" customHeight="1" x14ac:dyDescent="0.2">
      <c r="A70" s="22"/>
      <c r="B70" s="30" t="s">
        <v>81</v>
      </c>
      <c r="C70" s="30" t="s">
        <v>296</v>
      </c>
      <c r="D70" s="30" t="s">
        <v>69</v>
      </c>
      <c r="E70" s="30" t="s">
        <v>289</v>
      </c>
      <c r="F70" s="30" t="s">
        <v>70</v>
      </c>
      <c r="G70" s="30" t="s">
        <v>214</v>
      </c>
      <c r="H70" s="30">
        <v>-5.91</v>
      </c>
      <c r="I70" s="30" t="s">
        <v>72</v>
      </c>
      <c r="J70" s="30">
        <v>9.31</v>
      </c>
      <c r="K70" s="30" t="s">
        <v>72</v>
      </c>
      <c r="L70" s="30">
        <v>40.51</v>
      </c>
      <c r="M70" s="30" t="s">
        <v>72</v>
      </c>
      <c r="N70" s="30">
        <v>12.824</v>
      </c>
      <c r="O70" s="30" t="s">
        <v>146</v>
      </c>
      <c r="P70" s="30">
        <v>-0.38400000000000001</v>
      </c>
      <c r="Q70" s="30" t="s">
        <v>146</v>
      </c>
      <c r="R70" s="30">
        <v>29.802</v>
      </c>
      <c r="S70" s="30" t="s">
        <v>130</v>
      </c>
      <c r="T70" s="30">
        <v>-0.67700000000000005</v>
      </c>
      <c r="U70" s="30" t="s">
        <v>130</v>
      </c>
      <c r="V70" s="30">
        <v>123.754</v>
      </c>
      <c r="W70" s="30" t="s">
        <v>297</v>
      </c>
      <c r="X70" s="30">
        <v>92.921000000000006</v>
      </c>
      <c r="Y70" s="30" t="s">
        <v>298</v>
      </c>
      <c r="Z70" s="30">
        <v>-8.5783991970698591E-3</v>
      </c>
      <c r="AA70" s="30" t="s">
        <v>299</v>
      </c>
      <c r="AB70" s="30">
        <v>-0.27400000000000002</v>
      </c>
      <c r="AC70" s="30">
        <v>1.0250967627186678</v>
      </c>
      <c r="AD70" s="30">
        <v>0.94366615452465152</v>
      </c>
      <c r="AE70" s="30">
        <v>0.66300000000000003</v>
      </c>
      <c r="AF70" s="30">
        <v>0</v>
      </c>
      <c r="AG70" s="30">
        <v>-3.4396679126568991E-2</v>
      </c>
      <c r="AH70" s="30" t="s">
        <v>300</v>
      </c>
      <c r="AI70" s="30">
        <v>0.34799999999999998</v>
      </c>
      <c r="AJ70" s="30">
        <v>-1.1922005819465202</v>
      </c>
      <c r="AK70" s="30">
        <v>0.38824672961086704</v>
      </c>
      <c r="AL70" s="30">
        <v>-2.7E-2</v>
      </c>
      <c r="AM70" s="30">
        <v>0</v>
      </c>
      <c r="AN70" s="30">
        <v>-5.76</v>
      </c>
      <c r="AP70" s="31"/>
      <c r="AQ70" s="30">
        <v>1.17</v>
      </c>
      <c r="AS70" s="31"/>
      <c r="AT70" s="30">
        <v>32.130000000000003</v>
      </c>
      <c r="AW70" s="30">
        <v>0.66300000000000003</v>
      </c>
      <c r="BA70" s="30">
        <v>-2.7E-2</v>
      </c>
      <c r="BF70" s="30">
        <f>SQRT((BD2*(10^6))/(AW70-BE2))-273.15</f>
        <v>4.0093202502338841</v>
      </c>
      <c r="BJ70" s="30">
        <f t="shared" si="22"/>
        <v>1.033934710802515</v>
      </c>
      <c r="BL70" s="30">
        <f t="shared" si="23"/>
        <v>-1.7454784945889514</v>
      </c>
    </row>
    <row r="71" spans="1:66" ht="13.5" customHeight="1" x14ac:dyDescent="0.2">
      <c r="A71" s="22"/>
      <c r="B71" s="30" t="s">
        <v>89</v>
      </c>
      <c r="C71" s="30" t="s">
        <v>301</v>
      </c>
      <c r="D71" s="30" t="s">
        <v>69</v>
      </c>
      <c r="E71" s="30" t="s">
        <v>289</v>
      </c>
      <c r="F71" s="30" t="s">
        <v>70</v>
      </c>
      <c r="G71" s="30" t="s">
        <v>214</v>
      </c>
      <c r="H71" s="30">
        <v>-5.88</v>
      </c>
      <c r="I71" s="30" t="s">
        <v>72</v>
      </c>
      <c r="J71" s="30">
        <v>9.19</v>
      </c>
      <c r="K71" s="30" t="s">
        <v>72</v>
      </c>
      <c r="L71" s="30">
        <v>40.39</v>
      </c>
      <c r="M71" s="30" t="s">
        <v>72</v>
      </c>
      <c r="N71" s="30">
        <v>12.683</v>
      </c>
      <c r="O71" s="30" t="s">
        <v>101</v>
      </c>
      <c r="P71" s="30">
        <v>-0.434</v>
      </c>
      <c r="Q71" s="30" t="s">
        <v>101</v>
      </c>
      <c r="R71" s="30">
        <v>29.460999999999999</v>
      </c>
      <c r="S71" s="30" t="s">
        <v>84</v>
      </c>
      <c r="T71" s="30">
        <v>-0.77300000000000002</v>
      </c>
      <c r="U71" s="30" t="s">
        <v>178</v>
      </c>
      <c r="V71" s="30">
        <v>161.88999999999999</v>
      </c>
      <c r="W71" s="30" t="s">
        <v>302</v>
      </c>
      <c r="X71" s="30">
        <v>130.24</v>
      </c>
      <c r="Y71" s="30" t="s">
        <v>303</v>
      </c>
      <c r="Z71" s="30">
        <v>-8.5783991970698609E-3</v>
      </c>
      <c r="AA71" s="30" t="s">
        <v>304</v>
      </c>
      <c r="AB71" s="30">
        <v>-0.32500000000000001</v>
      </c>
      <c r="AC71" s="30">
        <v>1.0293349052137557</v>
      </c>
      <c r="AD71" s="30">
        <v>0.94662973968576458</v>
      </c>
      <c r="AE71" s="30">
        <v>0.61199999999999999</v>
      </c>
      <c r="AF71" s="30">
        <v>0</v>
      </c>
      <c r="AG71" s="30">
        <v>-3.4396679126569019E-2</v>
      </c>
      <c r="AH71" s="30" t="s">
        <v>305</v>
      </c>
      <c r="AI71" s="30">
        <v>0.24</v>
      </c>
      <c r="AJ71" s="30">
        <v>-1.1922005819465198</v>
      </c>
      <c r="AK71" s="30">
        <v>0.38824672961086698</v>
      </c>
      <c r="AL71" s="30">
        <v>0.10199999999999999</v>
      </c>
      <c r="AM71" s="30">
        <v>0</v>
      </c>
      <c r="AN71" s="30">
        <v>-5.73</v>
      </c>
      <c r="AP71" s="31"/>
      <c r="AQ71" s="30">
        <v>1.05</v>
      </c>
      <c r="AS71" s="31"/>
      <c r="AT71" s="30">
        <v>32.01</v>
      </c>
      <c r="AW71" s="30">
        <v>0.61199999999999999</v>
      </c>
      <c r="BA71" s="30">
        <v>0.10199999999999999</v>
      </c>
      <c r="BF71" s="30">
        <f>SQRT((BD2*(10^6))/(AW71-BE2))-273.15</f>
        <v>19.033468114302025</v>
      </c>
      <c r="BJ71" s="30">
        <f t="shared" si="22"/>
        <v>1.0305106203456951</v>
      </c>
      <c r="BL71" s="30">
        <f t="shared" si="23"/>
        <v>1.4549870954284643</v>
      </c>
    </row>
    <row r="72" spans="1:66" ht="13.5" customHeight="1" x14ac:dyDescent="0.2">
      <c r="A72" s="22"/>
      <c r="AP72" s="31"/>
      <c r="AS72" s="31"/>
    </row>
    <row r="73" spans="1:66" ht="13.5" customHeight="1" x14ac:dyDescent="0.2">
      <c r="A73" s="33">
        <v>3</v>
      </c>
      <c r="B73" s="34" t="str">
        <f>E75</f>
        <v>LGA-1-8</v>
      </c>
      <c r="C73" s="32"/>
      <c r="D73" s="32"/>
      <c r="E73" s="32"/>
      <c r="F73" s="32"/>
      <c r="G73" s="32"/>
      <c r="H73" s="32"/>
      <c r="I73" s="34">
        <f>STDEV(H75:H77)/SQRT(COUNT(H75:H77))</f>
        <v>2.9627314724385324E-2</v>
      </c>
      <c r="J73" s="32"/>
      <c r="K73" s="34">
        <f>STDEV(J75:J77)/SQRT(COUNT(J75:J77))</f>
        <v>9.9999999999997886E-3</v>
      </c>
      <c r="L73" s="32"/>
      <c r="M73" s="34">
        <f>STDEV(L75:L77)/SQRT(COUNT(L75:L77))</f>
        <v>1.0000000000000378E-2</v>
      </c>
      <c r="N73" s="32"/>
      <c r="O73" s="34">
        <f>STDEV(N75:N77)/SQRT(COUNT(N75:N77))</f>
        <v>2.5692627563390451E-2</v>
      </c>
      <c r="P73" s="32"/>
      <c r="Q73" s="34">
        <f>STDEV(P75:P77)/SQRT(COUNT(P75:P77))</f>
        <v>5.6960024968783418E-3</v>
      </c>
      <c r="R73" s="32"/>
      <c r="S73" s="34">
        <f>STDEV(R75:R77)/SQRT(COUNT(R75:R77))</f>
        <v>5.3167450359950082E-2</v>
      </c>
      <c r="T73" s="32"/>
      <c r="U73" s="34">
        <f>STDEV(T75:T77)/SQRT(COUNT(T75:T77))</f>
        <v>4.9812983581927033E-2</v>
      </c>
      <c r="V73" s="32"/>
      <c r="W73" s="34">
        <f>STDEV(V75:V77)/SQRT(COUNT(V75:V77))</f>
        <v>4.755229028249965</v>
      </c>
      <c r="X73" s="32"/>
      <c r="Y73" s="34">
        <f>STDEV(X75:X77)/SQRT(COUNT(X75:X77))</f>
        <v>4.612712048724096</v>
      </c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4">
        <f>AVERAGE(AN75:AN77)</f>
        <v>1.6566666666666665</v>
      </c>
      <c r="AP73" s="37">
        <f>STDEV(AN75:AN77)</f>
        <v>5.6862407030773228E-2</v>
      </c>
      <c r="AQ73" s="32"/>
      <c r="AR73" s="34">
        <f>AVERAGE(AQ75:AQ77)</f>
        <v>2.3699999999999997</v>
      </c>
      <c r="AS73" s="37">
        <f>STDEV(AQ75:AQ77)</f>
        <v>1.7320508075688915E-2</v>
      </c>
      <c r="AT73" s="32"/>
      <c r="AU73" s="34">
        <f>AVERAGE(AT75:AT77)</f>
        <v>33.360000000000007</v>
      </c>
      <c r="AV73" s="34">
        <f>STDEV(AT75:AT77)</f>
        <v>1.7320508075689429E-2</v>
      </c>
      <c r="AW73" s="32"/>
      <c r="AX73" s="34">
        <f>AVERAGE(AW75:AW77)</f>
        <v>0.62666666666666659</v>
      </c>
      <c r="AY73" s="34">
        <f>STDEV(AW75:AW77)</f>
        <v>1.4640127503998512E-2</v>
      </c>
      <c r="AZ73" s="34">
        <f>STDEV(AW75:AW77)/SQRT(COUNT(AW75:AW77))</f>
        <v>8.4524815554039862E-3</v>
      </c>
      <c r="BA73" s="32"/>
      <c r="BB73" s="34">
        <f>AVERAGE(BA75:BA77)</f>
        <v>-0.14866666666666667</v>
      </c>
      <c r="BC73" s="34">
        <f>STDEV(BA75:BA77)/SQRT(COUNT(BA75:BA77))</f>
        <v>0.12268161140846569</v>
      </c>
      <c r="BD73" s="32"/>
      <c r="BE73" s="32"/>
      <c r="BF73" s="32"/>
      <c r="BG73" s="34">
        <f>AVERAGE(BF75:BF77)</f>
        <v>14.534020046460872</v>
      </c>
      <c r="BH73" s="34">
        <f>STDEV(BF75:BF77)</f>
        <v>4.4813542274218383</v>
      </c>
      <c r="BI73" s="34">
        <f>STDEV(BF75:BF77)/SQRT(COUNT(BF75:BF77))</f>
        <v>2.5873110695360659</v>
      </c>
      <c r="BJ73" s="32"/>
      <c r="BK73" s="34">
        <f>AVERAGE(BJ75:BJ77)</f>
        <v>1.0315080424091023</v>
      </c>
      <c r="BL73" s="32"/>
      <c r="BM73" s="34">
        <f>AVERAGE(BL75:BL77)</f>
        <v>1.7960083186810607</v>
      </c>
      <c r="BN73" s="34">
        <f>STDEV(BL75:BL77)/SQRT(COUNT(BL75:BL77))</f>
        <v>0.55668483937980162</v>
      </c>
    </row>
    <row r="74" spans="1:66" ht="13.5" customHeight="1" x14ac:dyDescent="0.2">
      <c r="A74" s="22"/>
      <c r="B74" s="30" t="s">
        <v>307</v>
      </c>
      <c r="AN74" s="30">
        <v>1.66</v>
      </c>
      <c r="AP74" s="31"/>
      <c r="AQ74" s="30">
        <v>2.37</v>
      </c>
      <c r="AS74" s="31"/>
      <c r="AT74" s="30">
        <v>33.36</v>
      </c>
      <c r="AW74" s="30">
        <v>0.627</v>
      </c>
      <c r="BA74" s="30">
        <v>-0.14899999999999999</v>
      </c>
    </row>
    <row r="75" spans="1:66" ht="13.5" customHeight="1" x14ac:dyDescent="0.2">
      <c r="A75" s="22"/>
      <c r="B75" s="30" t="s">
        <v>67</v>
      </c>
      <c r="C75" s="30" t="s">
        <v>308</v>
      </c>
      <c r="D75" s="30" t="s">
        <v>69</v>
      </c>
      <c r="E75" s="30" t="s">
        <v>306</v>
      </c>
      <c r="F75" s="30" t="s">
        <v>70</v>
      </c>
      <c r="G75" s="30" t="s">
        <v>214</v>
      </c>
      <c r="H75" s="30">
        <v>1.52</v>
      </c>
      <c r="I75" s="30" t="s">
        <v>72</v>
      </c>
      <c r="J75" s="30">
        <v>10.49</v>
      </c>
      <c r="K75" s="30" t="s">
        <v>72</v>
      </c>
      <c r="L75" s="30">
        <v>41.74</v>
      </c>
      <c r="M75" s="30" t="s">
        <v>72</v>
      </c>
      <c r="N75" s="30">
        <v>21.260999999999999</v>
      </c>
      <c r="O75" s="30" t="s">
        <v>206</v>
      </c>
      <c r="P75" s="30">
        <v>-0.48399999999999999</v>
      </c>
      <c r="Q75" s="30" t="s">
        <v>206</v>
      </c>
      <c r="R75" s="30">
        <v>31.983000000000001</v>
      </c>
      <c r="S75" s="30" t="s">
        <v>309</v>
      </c>
      <c r="T75" s="30">
        <v>-0.94299999999999995</v>
      </c>
      <c r="U75" s="30" t="s">
        <v>310</v>
      </c>
      <c r="V75" s="30">
        <v>122.384</v>
      </c>
      <c r="W75" s="30" t="s">
        <v>311</v>
      </c>
      <c r="X75" s="30">
        <v>80.938000000000002</v>
      </c>
      <c r="Y75" s="30" t="s">
        <v>312</v>
      </c>
      <c r="Z75" s="30">
        <v>-8.0707340102228377E-3</v>
      </c>
      <c r="AA75" s="30" t="s">
        <v>313</v>
      </c>
      <c r="AB75" s="30">
        <v>-0.313</v>
      </c>
      <c r="AC75" s="30">
        <v>1.0032509171486068</v>
      </c>
      <c r="AD75" s="30">
        <v>0.92469319982101128</v>
      </c>
      <c r="AE75" s="30">
        <v>0.61099999999999999</v>
      </c>
      <c r="AF75" s="30">
        <v>0</v>
      </c>
      <c r="AG75" s="30">
        <v>-4.9035307449523807E-2</v>
      </c>
      <c r="AH75" s="30" t="s">
        <v>314</v>
      </c>
      <c r="AI75" s="30">
        <v>0.626</v>
      </c>
      <c r="AJ75" s="30">
        <v>-1.2632397993495013</v>
      </c>
      <c r="AK75" s="30">
        <v>0.40309023154496298</v>
      </c>
      <c r="AL75" s="30">
        <v>-0.38700000000000001</v>
      </c>
      <c r="AM75" s="30">
        <v>0</v>
      </c>
      <c r="AN75" s="30">
        <v>1.72</v>
      </c>
      <c r="AP75" s="31"/>
      <c r="AQ75" s="30">
        <v>2.36</v>
      </c>
      <c r="AS75" s="31"/>
      <c r="AT75" s="30">
        <v>33.35</v>
      </c>
      <c r="AW75" s="30">
        <v>0.61099999999999999</v>
      </c>
      <c r="BA75" s="30">
        <v>-0.38700000000000001</v>
      </c>
      <c r="BF75" s="30">
        <f>SQRT((BD2*(10^6))/(AW75-BE2))-273.15</f>
        <v>19.352968995012361</v>
      </c>
      <c r="BJ75" s="30">
        <f t="shared" ref="BJ75:BJ77" si="24">IF(F75="Calcite",EXP((((18.03*10^3)/(BF75+273.15))-32.42)/1000),IF(F75="Aragonite",EXP((((17.88*10^3)/(BF75+273.15))-31.14)/1000),IF(F75="Dolomite",EXP((((18.02*10^3)/(BF75+273.15))-29.38)/1000),"")))</f>
        <v>1.0304417405876241</v>
      </c>
      <c r="BL75" s="30">
        <f t="shared" ref="BL75:BL77" si="25">((AT75+1000)/BJ75)-1000</f>
        <v>2.8223423972686987</v>
      </c>
    </row>
    <row r="76" spans="1:66" ht="13.5" customHeight="1" x14ac:dyDescent="0.2">
      <c r="A76" s="22"/>
      <c r="B76" s="30" t="s">
        <v>81</v>
      </c>
      <c r="C76" s="30" t="s">
        <v>315</v>
      </c>
      <c r="D76" s="30" t="s">
        <v>69</v>
      </c>
      <c r="E76" s="30" t="s">
        <v>306</v>
      </c>
      <c r="F76" s="30" t="s">
        <v>70</v>
      </c>
      <c r="G76" s="30" t="s">
        <v>214</v>
      </c>
      <c r="H76" s="30">
        <v>1.42</v>
      </c>
      <c r="I76" s="30" t="s">
        <v>72</v>
      </c>
      <c r="J76" s="30">
        <v>10.49</v>
      </c>
      <c r="K76" s="30" t="s">
        <v>72</v>
      </c>
      <c r="L76" s="30">
        <v>41.74</v>
      </c>
      <c r="M76" s="30" t="s">
        <v>72</v>
      </c>
      <c r="N76" s="30">
        <v>21.172000000000001</v>
      </c>
      <c r="O76" s="30" t="s">
        <v>123</v>
      </c>
      <c r="P76" s="30">
        <v>-0.46800000000000003</v>
      </c>
      <c r="Q76" s="30" t="s">
        <v>91</v>
      </c>
      <c r="R76" s="30">
        <v>32.158999999999999</v>
      </c>
      <c r="S76" s="30" t="s">
        <v>83</v>
      </c>
      <c r="T76" s="30">
        <v>-0.77100000000000002</v>
      </c>
      <c r="U76" s="30" t="s">
        <v>110</v>
      </c>
      <c r="V76" s="30">
        <v>133.458</v>
      </c>
      <c r="W76" s="30" t="s">
        <v>316</v>
      </c>
      <c r="X76" s="30">
        <v>91.72</v>
      </c>
      <c r="Y76" s="30" t="s">
        <v>317</v>
      </c>
      <c r="Z76" s="30">
        <v>-8.5090761240941316E-3</v>
      </c>
      <c r="AA76" s="30" t="s">
        <v>318</v>
      </c>
      <c r="AB76" s="30">
        <v>-0.28799999999999998</v>
      </c>
      <c r="AC76" s="30">
        <v>1.001461958070579</v>
      </c>
      <c r="AD76" s="30">
        <v>0.92910734911770065</v>
      </c>
      <c r="AE76" s="30">
        <v>0.64</v>
      </c>
      <c r="AF76" s="30">
        <v>0</v>
      </c>
      <c r="AG76" s="30">
        <v>-3.6186587353506085E-2</v>
      </c>
      <c r="AH76" s="30" t="s">
        <v>319</v>
      </c>
      <c r="AI76" s="30">
        <v>0.39300000000000002</v>
      </c>
      <c r="AJ76" s="30">
        <v>-1.19220058194652</v>
      </c>
      <c r="AK76" s="30">
        <v>0.38824672961086698</v>
      </c>
      <c r="AL76" s="30">
        <v>-0.08</v>
      </c>
      <c r="AM76" s="30">
        <v>0</v>
      </c>
      <c r="AN76" s="30">
        <v>1.61</v>
      </c>
      <c r="AP76" s="31"/>
      <c r="AQ76" s="30">
        <v>2.36</v>
      </c>
      <c r="AS76" s="31"/>
      <c r="AT76" s="30">
        <v>33.35</v>
      </c>
      <c r="AW76" s="30">
        <v>0.64</v>
      </c>
      <c r="BA76" s="30">
        <v>-0.08</v>
      </c>
      <c r="BF76" s="30">
        <f>SQRT((BD2*(10^6))/(AW76-BE2))-273.15</f>
        <v>10.491807385863638</v>
      </c>
      <c r="BJ76" s="30">
        <f t="shared" si="24"/>
        <v>1.0324114213192306</v>
      </c>
      <c r="BL76" s="30">
        <f t="shared" si="25"/>
        <v>0.90911303515997588</v>
      </c>
    </row>
    <row r="77" spans="1:66" ht="13.5" customHeight="1" x14ac:dyDescent="0.2">
      <c r="A77" s="22"/>
      <c r="B77" s="30" t="s">
        <v>89</v>
      </c>
      <c r="C77" s="30" t="s">
        <v>320</v>
      </c>
      <c r="D77" s="30" t="s">
        <v>69</v>
      </c>
      <c r="E77" s="30" t="s">
        <v>306</v>
      </c>
      <c r="F77" s="30" t="s">
        <v>70</v>
      </c>
      <c r="G77" s="30" t="s">
        <v>214</v>
      </c>
      <c r="H77" s="30">
        <v>1.45</v>
      </c>
      <c r="I77" s="30" t="s">
        <v>72</v>
      </c>
      <c r="J77" s="30">
        <v>10.52</v>
      </c>
      <c r="K77" s="30" t="s">
        <v>72</v>
      </c>
      <c r="L77" s="30">
        <v>41.77</v>
      </c>
      <c r="M77" s="30" t="s">
        <v>72</v>
      </c>
      <c r="N77" s="30">
        <v>21.216999999999999</v>
      </c>
      <c r="O77" s="30" t="s">
        <v>130</v>
      </c>
      <c r="P77" s="30">
        <v>-0.48599999999999999</v>
      </c>
      <c r="Q77" s="30" t="s">
        <v>206</v>
      </c>
      <c r="R77" s="30">
        <v>32.118000000000002</v>
      </c>
      <c r="S77" s="30" t="s">
        <v>76</v>
      </c>
      <c r="T77" s="30">
        <v>-0.86899999999999999</v>
      </c>
      <c r="U77" s="30" t="s">
        <v>184</v>
      </c>
      <c r="V77" s="30">
        <v>117.36</v>
      </c>
      <c r="W77" s="30" t="s">
        <v>321</v>
      </c>
      <c r="X77" s="30">
        <v>76.116</v>
      </c>
      <c r="Y77" s="30" t="s">
        <v>322</v>
      </c>
      <c r="Z77" s="30">
        <v>-8.4512197290167179E-3</v>
      </c>
      <c r="AA77" s="30" t="s">
        <v>323</v>
      </c>
      <c r="AB77" s="30">
        <v>-0.307</v>
      </c>
      <c r="AC77" s="30">
        <v>1.0236634463289935</v>
      </c>
      <c r="AD77" s="30">
        <v>0.94274422934209545</v>
      </c>
      <c r="AE77" s="30">
        <v>0.629</v>
      </c>
      <c r="AF77" s="30">
        <v>0</v>
      </c>
      <c r="AG77" s="30">
        <v>-3.6635353050874918E-2</v>
      </c>
      <c r="AH77" s="30" t="s">
        <v>324</v>
      </c>
      <c r="AI77" s="30">
        <v>0.308</v>
      </c>
      <c r="AJ77" s="30">
        <v>-1.19220058194652</v>
      </c>
      <c r="AK77" s="30">
        <v>0.38824672961086698</v>
      </c>
      <c r="AL77" s="30">
        <v>2.1000000000000001E-2</v>
      </c>
      <c r="AM77" s="30">
        <v>0</v>
      </c>
      <c r="AN77" s="30">
        <v>1.64</v>
      </c>
      <c r="AP77" s="31"/>
      <c r="AQ77" s="30">
        <v>2.39</v>
      </c>
      <c r="AS77" s="31"/>
      <c r="AT77" s="30">
        <v>33.380000000000003</v>
      </c>
      <c r="AW77" s="30">
        <v>0.629</v>
      </c>
      <c r="BA77" s="30">
        <v>2.1000000000000001E-2</v>
      </c>
      <c r="BF77" s="30">
        <f>SQRT((BD2*(10^6))/(AW77-BE2))-273.15</f>
        <v>13.757283758506617</v>
      </c>
      <c r="BJ77" s="30">
        <f t="shared" si="24"/>
        <v>1.0316709653204523</v>
      </c>
      <c r="BL77" s="30">
        <f t="shared" si="25"/>
        <v>1.6565695236145075</v>
      </c>
    </row>
    <row r="78" spans="1:66" ht="13.5" customHeight="1" x14ac:dyDescent="0.2">
      <c r="A78" s="22"/>
      <c r="AP78" s="31"/>
      <c r="AS78" s="31"/>
    </row>
    <row r="79" spans="1:66" ht="13.5" customHeight="1" x14ac:dyDescent="0.2">
      <c r="A79" s="33">
        <v>3</v>
      </c>
      <c r="B79" s="34" t="str">
        <f>E81</f>
        <v>LGA-1-9</v>
      </c>
      <c r="C79" s="32"/>
      <c r="D79" s="32"/>
      <c r="E79" s="32"/>
      <c r="F79" s="32"/>
      <c r="G79" s="32"/>
      <c r="H79" s="32"/>
      <c r="I79" s="34">
        <f>STDEV(H81:H83)/SQRT(COUNT(H81:H83))</f>
        <v>5.4569018479149578E-2</v>
      </c>
      <c r="J79" s="32"/>
      <c r="K79" s="34">
        <f>STDEV(J81:J83)/SQRT(COUNT(J81:J83))</f>
        <v>0.12836579675979828</v>
      </c>
      <c r="L79" s="32"/>
      <c r="M79" s="34">
        <f>STDEV(L81:L83)/SQRT(COUNT(L81:L83))</f>
        <v>0.13169830843425592</v>
      </c>
      <c r="N79" s="32"/>
      <c r="O79" s="34">
        <f>STDEV(N81:N83)/SQRT(COUNT(N81:N83))</f>
        <v>0.17285285971343128</v>
      </c>
      <c r="P79" s="32"/>
      <c r="Q79" s="34">
        <f>STDEV(P81:P83)/SQRT(COUNT(P81:P83))</f>
        <v>1.4437605218471806E-2</v>
      </c>
      <c r="R79" s="32"/>
      <c r="S79" s="34">
        <f>STDEV(R81:R83)/SQRT(COUNT(R81:R83))</f>
        <v>0.18859480374602108</v>
      </c>
      <c r="T79" s="32"/>
      <c r="U79" s="34">
        <f>STDEV(T81:T83)/SQRT(COUNT(T81:T83))</f>
        <v>7.6857732929817221E-2</v>
      </c>
      <c r="V79" s="32"/>
      <c r="W79" s="34">
        <f>STDEV(V81:V83)/SQRT(COUNT(V81:V83))</f>
        <v>5.3547979212830956</v>
      </c>
      <c r="X79" s="32"/>
      <c r="Y79" s="34">
        <f>STDEV(X81:X83)/SQRT(COUNT(X81:X83))</f>
        <v>4.9715549881299719</v>
      </c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4">
        <f>AVERAGE(AN81:AN83)</f>
        <v>-7.3500000000000005</v>
      </c>
      <c r="AP79" s="37">
        <f>STDEV(AN81:AN83)</f>
        <v>9.1651513899117076E-2</v>
      </c>
      <c r="AQ79" s="32"/>
      <c r="AR79" s="34">
        <f>AVERAGE(AQ81:AQ83)</f>
        <v>1.6900000000000002</v>
      </c>
      <c r="AS79" s="37">
        <f>STDEV(AQ81:AQ83)</f>
        <v>0.21656407827707702</v>
      </c>
      <c r="AT79" s="32"/>
      <c r="AU79" s="34">
        <f>AVERAGE(AT81:AT83)</f>
        <v>32.663333333333327</v>
      </c>
      <c r="AV79" s="34">
        <f>STDEV(AT81:AT83)</f>
        <v>0.21939310229205927</v>
      </c>
      <c r="AW79" s="32"/>
      <c r="AX79" s="34">
        <f>AVERAGE(AW81:AW83)</f>
        <v>0.6323333333333333</v>
      </c>
      <c r="AY79" s="34">
        <f>STDEV(AW81:AW83)</f>
        <v>2.65015722804013E-2</v>
      </c>
      <c r="AZ79" s="34">
        <f>STDEV(AW81:AW83)/SQRT(COUNT(AW81:AW83))</f>
        <v>1.5300689890038017E-2</v>
      </c>
      <c r="BA79" s="32"/>
      <c r="BB79" s="34">
        <f>AVERAGE(BA81:BA83)</f>
        <v>0.15433333333333335</v>
      </c>
      <c r="BC79" s="34">
        <f>STDEV(BA81:BA83)/SQRT(COUNT(BA81:BA83))</f>
        <v>6.4047725261020108E-2</v>
      </c>
      <c r="BD79" s="32"/>
      <c r="BE79" s="32"/>
      <c r="BF79" s="32"/>
      <c r="BG79" s="34">
        <f>AVERAGE(BF81:BF83)</f>
        <v>12.981170556147637</v>
      </c>
      <c r="BH79" s="34">
        <f>STDEV(BF81:BF83)</f>
        <v>8.1115961221544861</v>
      </c>
      <c r="BI79" s="34">
        <f>STDEV(BF81:BF83)/SQRT(COUNT(BF81:BF83))</f>
        <v>4.6832322046834172</v>
      </c>
      <c r="BJ79" s="32"/>
      <c r="BK79" s="34">
        <f>AVERAGE(BJ81:BJ83)</f>
        <v>1.0318804676803517</v>
      </c>
      <c r="BL79" s="32"/>
      <c r="BM79" s="34">
        <f>AVERAGE(BL81:BL83)</f>
        <v>0.76086265800241415</v>
      </c>
      <c r="BN79" s="34">
        <f>STDEV(BL81:BL83)/SQRT(COUNT(BL81:BL83))</f>
        <v>1.0881923636177533</v>
      </c>
    </row>
    <row r="80" spans="1:66" ht="13.5" customHeight="1" x14ac:dyDescent="0.2">
      <c r="A80" s="22"/>
      <c r="B80" s="30" t="s">
        <v>326</v>
      </c>
      <c r="AN80" s="30">
        <v>-7.35</v>
      </c>
      <c r="AP80" s="31"/>
      <c r="AQ80" s="30">
        <v>1.69</v>
      </c>
      <c r="AS80" s="31"/>
      <c r="AT80" s="30">
        <v>32.659999999999997</v>
      </c>
      <c r="AW80" s="30">
        <v>0.63200000000000001</v>
      </c>
      <c r="BA80" s="30">
        <v>0.154</v>
      </c>
    </row>
    <row r="81" spans="1:66" ht="13.5" customHeight="1" x14ac:dyDescent="0.2">
      <c r="A81" s="22"/>
      <c r="B81" s="30" t="s">
        <v>67</v>
      </c>
      <c r="C81" s="30" t="s">
        <v>327</v>
      </c>
      <c r="D81" s="30" t="s">
        <v>69</v>
      </c>
      <c r="E81" s="30" t="s">
        <v>325</v>
      </c>
      <c r="F81" s="30" t="s">
        <v>70</v>
      </c>
      <c r="G81" s="30" t="s">
        <v>71</v>
      </c>
      <c r="H81" s="30">
        <v>-7.38</v>
      </c>
      <c r="I81" s="30" t="s">
        <v>72</v>
      </c>
      <c r="J81" s="30">
        <v>9.7200000000000006</v>
      </c>
      <c r="K81" s="30" t="s">
        <v>72</v>
      </c>
      <c r="L81" s="30">
        <v>40.94</v>
      </c>
      <c r="M81" s="30" t="s">
        <v>72</v>
      </c>
      <c r="N81" s="30">
        <v>11.811999999999999</v>
      </c>
      <c r="O81" s="30" t="s">
        <v>108</v>
      </c>
      <c r="P81" s="30">
        <v>-0.34</v>
      </c>
      <c r="Q81" s="30" t="s">
        <v>199</v>
      </c>
      <c r="R81" s="30">
        <v>31.378</v>
      </c>
      <c r="S81" s="30" t="s">
        <v>248</v>
      </c>
      <c r="T81" s="30">
        <v>-0.13300000000000001</v>
      </c>
      <c r="U81" s="30" t="s">
        <v>249</v>
      </c>
      <c r="V81" s="30">
        <v>-149.30600000000001</v>
      </c>
      <c r="W81" s="30" t="s">
        <v>328</v>
      </c>
      <c r="X81" s="30">
        <v>-172.142</v>
      </c>
      <c r="Y81" s="30" t="s">
        <v>329</v>
      </c>
      <c r="Z81" s="30">
        <v>-7.8600323326205711E-3</v>
      </c>
      <c r="AA81" s="30" t="s">
        <v>330</v>
      </c>
      <c r="AB81" s="30">
        <v>-0.247</v>
      </c>
      <c r="AC81" s="30">
        <v>1.1153907918651664</v>
      </c>
      <c r="AD81" s="30">
        <v>0.92021636980969357</v>
      </c>
      <c r="AE81" s="30">
        <v>0.64400000000000002</v>
      </c>
      <c r="AF81" s="30">
        <v>0</v>
      </c>
      <c r="AG81" s="30">
        <v>-8.1835608084490485E-3</v>
      </c>
      <c r="AH81" s="30" t="s">
        <v>106</v>
      </c>
      <c r="AI81" s="30">
        <v>0.124</v>
      </c>
      <c r="AJ81" s="30">
        <v>1.1582615959907605</v>
      </c>
      <c r="AK81" s="30">
        <v>-3.0238679309064213E-2</v>
      </c>
      <c r="AL81" s="30">
        <v>0.113</v>
      </c>
      <c r="AM81" s="30">
        <v>0</v>
      </c>
      <c r="AN81" s="30">
        <v>-7.33</v>
      </c>
      <c r="AP81" s="31"/>
      <c r="AQ81" s="30">
        <v>1.81</v>
      </c>
      <c r="AS81" s="31"/>
      <c r="AT81" s="30">
        <v>32.79</v>
      </c>
      <c r="AW81" s="30">
        <v>0.64400000000000002</v>
      </c>
      <c r="BA81" s="30">
        <v>0.113</v>
      </c>
      <c r="BF81" s="30">
        <f>SQRT((BD2*(10^6))/(AW81-BE2))-273.15</f>
        <v>9.3317133326455632</v>
      </c>
      <c r="BJ81" s="30">
        <f t="shared" ref="BJ81:BJ83" si="26">IF(F81="Calcite",EXP((((18.03*10^3)/(BF81+273.15))-32.42)/1000),IF(F81="Aragonite",EXP((((17.88*10^3)/(BF81+273.15))-31.14)/1000),IF(F81="Dolomite",EXP((((18.02*10^3)/(BF81+273.15))-29.38)/1000),"")))</f>
        <v>1.0326787275913025</v>
      </c>
      <c r="BL81" s="30">
        <f t="shared" ref="BL81:BL83" si="27">((AT81+1000)/BJ81)-1000</f>
        <v>0.10775123542725851</v>
      </c>
    </row>
    <row r="82" spans="1:66" ht="13.5" customHeight="1" x14ac:dyDescent="0.2">
      <c r="A82" s="22"/>
      <c r="B82" s="30" t="s">
        <v>81</v>
      </c>
      <c r="C82" s="30" t="s">
        <v>331</v>
      </c>
      <c r="D82" s="30" t="s">
        <v>69</v>
      </c>
      <c r="E82" s="30" t="s">
        <v>325</v>
      </c>
      <c r="F82" s="30" t="s">
        <v>70</v>
      </c>
      <c r="G82" s="30" t="s">
        <v>71</v>
      </c>
      <c r="H82" s="30">
        <v>-7.52</v>
      </c>
      <c r="I82" s="30" t="s">
        <v>72</v>
      </c>
      <c r="J82" s="30">
        <v>9.33</v>
      </c>
      <c r="K82" s="30" t="s">
        <v>72</v>
      </c>
      <c r="L82" s="30">
        <v>40.54</v>
      </c>
      <c r="M82" s="30" t="s">
        <v>72</v>
      </c>
      <c r="N82" s="30">
        <v>11.289</v>
      </c>
      <c r="O82" s="30" t="s">
        <v>101</v>
      </c>
      <c r="P82" s="30">
        <v>-0.33400000000000002</v>
      </c>
      <c r="Q82" s="30" t="s">
        <v>332</v>
      </c>
      <c r="R82" s="30">
        <v>30.765999999999998</v>
      </c>
      <c r="S82" s="30" t="s">
        <v>75</v>
      </c>
      <c r="T82" s="30">
        <v>3.9E-2</v>
      </c>
      <c r="U82" s="30" t="s">
        <v>76</v>
      </c>
      <c r="V82" s="30">
        <v>-161.90799999999999</v>
      </c>
      <c r="W82" s="30" t="s">
        <v>333</v>
      </c>
      <c r="X82" s="30">
        <v>-183.66800000000001</v>
      </c>
      <c r="Y82" s="30" t="s">
        <v>334</v>
      </c>
      <c r="Z82" s="30">
        <v>-7.7377938173666715E-3</v>
      </c>
      <c r="AA82" s="30" t="s">
        <v>163</v>
      </c>
      <c r="AB82" s="30">
        <v>-0.247</v>
      </c>
      <c r="AC82" s="30">
        <v>1.1372220844240986</v>
      </c>
      <c r="AD82" s="30">
        <v>0.93152084790952872</v>
      </c>
      <c r="AE82" s="30">
        <v>0.65100000000000002</v>
      </c>
      <c r="AF82" s="30">
        <v>0</v>
      </c>
      <c r="AG82" s="30">
        <v>-7.9097486257935588E-3</v>
      </c>
      <c r="AH82" s="30" t="s">
        <v>164</v>
      </c>
      <c r="AI82" s="30">
        <v>0.28199999999999997</v>
      </c>
      <c r="AJ82" s="30">
        <v>0.54510530887562825</v>
      </c>
      <c r="AK82" s="30">
        <v>0.12652833496087248</v>
      </c>
      <c r="AL82" s="30">
        <v>0.28000000000000003</v>
      </c>
      <c r="AM82" s="30">
        <v>0</v>
      </c>
      <c r="AN82" s="30">
        <v>-7.45</v>
      </c>
      <c r="AP82" s="31"/>
      <c r="AQ82" s="30">
        <v>1.44</v>
      </c>
      <c r="AS82" s="31"/>
      <c r="AT82" s="30">
        <v>32.409999999999997</v>
      </c>
      <c r="AW82" s="30">
        <v>0.65100000000000002</v>
      </c>
      <c r="BA82" s="30">
        <v>0.28000000000000003</v>
      </c>
      <c r="BF82" s="30">
        <f>SQRT((BD2*(10^6))/(AW82-BE2))-273.15</f>
        <v>7.3353511204443862</v>
      </c>
      <c r="BJ82" s="30">
        <f t="shared" si="26"/>
        <v>1.0331440665292659</v>
      </c>
      <c r="BL82" s="30">
        <f t="shared" si="27"/>
        <v>-0.71051710312951855</v>
      </c>
    </row>
    <row r="83" spans="1:66" ht="13.5" customHeight="1" x14ac:dyDescent="0.2">
      <c r="A83" s="22"/>
      <c r="B83" s="30" t="s">
        <v>89</v>
      </c>
      <c r="C83" s="30" t="s">
        <v>335</v>
      </c>
      <c r="D83" s="30" t="s">
        <v>69</v>
      </c>
      <c r="E83" s="30" t="s">
        <v>325</v>
      </c>
      <c r="F83" s="30" t="s">
        <v>70</v>
      </c>
      <c r="G83" s="30" t="s">
        <v>71</v>
      </c>
      <c r="H83" s="30">
        <v>-7.34</v>
      </c>
      <c r="I83" s="30" t="s">
        <v>72</v>
      </c>
      <c r="J83" s="30">
        <v>9.7100000000000009</v>
      </c>
      <c r="K83" s="30" t="s">
        <v>72</v>
      </c>
      <c r="L83" s="30">
        <v>40.93</v>
      </c>
      <c r="M83" s="30" t="s">
        <v>72</v>
      </c>
      <c r="N83" s="30">
        <v>11.803000000000001</v>
      </c>
      <c r="O83" s="30" t="s">
        <v>206</v>
      </c>
      <c r="P83" s="30">
        <v>-0.38</v>
      </c>
      <c r="Q83" s="30" t="s">
        <v>206</v>
      </c>
      <c r="R83" s="30">
        <v>31.27</v>
      </c>
      <c r="S83" s="30" t="s">
        <v>185</v>
      </c>
      <c r="T83" s="30">
        <v>-0.223</v>
      </c>
      <c r="U83" s="30" t="s">
        <v>336</v>
      </c>
      <c r="V83" s="30">
        <v>-143.81899999999999</v>
      </c>
      <c r="W83" s="30" t="s">
        <v>337</v>
      </c>
      <c r="X83" s="30">
        <v>-166.82300000000001</v>
      </c>
      <c r="Y83" s="30" t="s">
        <v>338</v>
      </c>
      <c r="Z83" s="30">
        <v>-7.7203916243908785E-3</v>
      </c>
      <c r="AA83" s="30" t="s">
        <v>339</v>
      </c>
      <c r="AB83" s="30">
        <v>-0.28899999999999998</v>
      </c>
      <c r="AC83" s="30">
        <v>1.1238429252521667</v>
      </c>
      <c r="AD83" s="30">
        <v>0.92669655809476636</v>
      </c>
      <c r="AE83" s="30">
        <v>0.60199999999999998</v>
      </c>
      <c r="AF83" s="30">
        <v>0</v>
      </c>
      <c r="AG83" s="30">
        <v>-7.4919770788327549E-3</v>
      </c>
      <c r="AH83" s="30" t="s">
        <v>119</v>
      </c>
      <c r="AI83" s="30">
        <v>1.0999999999999999E-2</v>
      </c>
      <c r="AJ83" s="30">
        <v>0.90219421860945781</v>
      </c>
      <c r="AK83" s="30">
        <v>5.9727227424654153E-2</v>
      </c>
      <c r="AL83" s="30">
        <v>7.0000000000000007E-2</v>
      </c>
      <c r="AM83" s="30">
        <v>0</v>
      </c>
      <c r="AN83" s="30">
        <v>-7.27</v>
      </c>
      <c r="AP83" s="31"/>
      <c r="AQ83" s="30">
        <v>1.82</v>
      </c>
      <c r="AS83" s="31"/>
      <c r="AT83" s="30">
        <v>32.79</v>
      </c>
      <c r="AW83" s="30">
        <v>0.60199999999999998</v>
      </c>
      <c r="BA83" s="30">
        <v>7.0000000000000007E-2</v>
      </c>
      <c r="BF83" s="30">
        <f>SQRT((BD2*(10^6))/(AW83-BE2))-273.15</f>
        <v>22.27644721535296</v>
      </c>
      <c r="BJ83" s="30">
        <f t="shared" si="26"/>
        <v>1.0298186089204873</v>
      </c>
      <c r="BL83" s="30">
        <f t="shared" si="27"/>
        <v>2.8853538417095024</v>
      </c>
    </row>
    <row r="84" spans="1:66" ht="13.5" customHeight="1" x14ac:dyDescent="0.2">
      <c r="A84" s="22"/>
      <c r="B84" s="23"/>
      <c r="C84" s="23"/>
      <c r="D84" s="24"/>
      <c r="E84" s="24"/>
      <c r="F84" s="24"/>
      <c r="G84" s="24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7"/>
      <c r="AP84" s="31"/>
      <c r="AS84" s="31"/>
      <c r="AY84" s="25"/>
      <c r="BF84" s="25"/>
      <c r="BG84" s="25"/>
      <c r="BH84" s="25"/>
      <c r="BI84" s="25"/>
      <c r="BJ84" s="24"/>
      <c r="BK84" s="24"/>
      <c r="BL84" s="25"/>
      <c r="BM84" s="25"/>
      <c r="BN84" s="25"/>
    </row>
    <row r="85" spans="1:66" ht="13.5" customHeight="1" x14ac:dyDescent="0.2">
      <c r="A85" s="22"/>
      <c r="B85" s="23"/>
      <c r="C85" s="23"/>
      <c r="D85" s="24"/>
      <c r="E85" s="24"/>
      <c r="F85" s="24"/>
      <c r="G85" s="24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7"/>
      <c r="AP85" s="31"/>
      <c r="AS85" s="31"/>
      <c r="AY85" s="25"/>
      <c r="BF85" s="25"/>
      <c r="BG85" s="25"/>
      <c r="BH85" s="25"/>
      <c r="BI85" s="25"/>
      <c r="BJ85" s="24"/>
      <c r="BK85" s="24"/>
      <c r="BL85" s="25"/>
      <c r="BM85" s="25"/>
      <c r="BN85" s="25"/>
    </row>
    <row r="86" spans="1:66" ht="13.5" customHeight="1" x14ac:dyDescent="0.2">
      <c r="A86" s="22"/>
      <c r="B86" s="23"/>
      <c r="C86" s="23"/>
      <c r="D86" s="24"/>
      <c r="E86" s="24"/>
      <c r="F86" s="24"/>
      <c r="G86" s="24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7"/>
      <c r="AP86" s="31"/>
      <c r="AS86" s="31"/>
      <c r="AY86" s="25"/>
      <c r="BF86" s="25"/>
      <c r="BG86" s="25"/>
      <c r="BH86" s="25"/>
      <c r="BI86" s="25"/>
      <c r="BJ86" s="24"/>
      <c r="BK86" s="24"/>
      <c r="BL86" s="25"/>
      <c r="BM86" s="25"/>
      <c r="BN86" s="25"/>
    </row>
    <row r="87" spans="1:66" ht="13.5" customHeight="1" x14ac:dyDescent="0.2">
      <c r="A87" s="22"/>
      <c r="B87" s="23"/>
      <c r="C87" s="23"/>
      <c r="D87" s="24"/>
      <c r="E87" s="24"/>
      <c r="F87" s="24"/>
      <c r="G87" s="24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7"/>
      <c r="AP87" s="31"/>
      <c r="AS87" s="31"/>
      <c r="AY87" s="25"/>
      <c r="BF87" s="25"/>
      <c r="BG87" s="25"/>
      <c r="BH87" s="25"/>
      <c r="BI87" s="25"/>
      <c r="BJ87" s="24"/>
      <c r="BK87" s="24"/>
      <c r="BL87" s="25"/>
      <c r="BM87" s="25"/>
      <c r="BN87" s="25"/>
    </row>
    <row r="88" spans="1:66" ht="13.5" customHeight="1" x14ac:dyDescent="0.2">
      <c r="A88" s="22"/>
      <c r="B88" s="23"/>
      <c r="C88" s="23"/>
      <c r="D88" s="24"/>
      <c r="E88" s="24"/>
      <c r="F88" s="24"/>
      <c r="G88" s="24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7"/>
      <c r="AP88" s="31"/>
      <c r="AS88" s="31"/>
      <c r="AY88" s="25"/>
      <c r="BF88" s="25"/>
      <c r="BG88" s="25"/>
      <c r="BH88" s="25"/>
      <c r="BI88" s="25"/>
      <c r="BJ88" s="24"/>
      <c r="BK88" s="24"/>
      <c r="BL88" s="25"/>
      <c r="BM88" s="25"/>
      <c r="BN88" s="25"/>
    </row>
    <row r="89" spans="1:66" ht="13.5" customHeight="1" x14ac:dyDescent="0.2">
      <c r="A89" s="22"/>
      <c r="B89" s="23"/>
      <c r="C89" s="23"/>
      <c r="D89" s="24"/>
      <c r="E89" s="24"/>
      <c r="F89" s="24"/>
      <c r="G89" s="24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7"/>
      <c r="AP89" s="31"/>
      <c r="AS89" s="31"/>
      <c r="AY89" s="25"/>
      <c r="BF89" s="25"/>
      <c r="BG89" s="25"/>
      <c r="BH89" s="25"/>
      <c r="BI89" s="25"/>
      <c r="BJ89" s="24"/>
      <c r="BK89" s="24"/>
      <c r="BL89" s="25"/>
      <c r="BM89" s="25"/>
      <c r="BN89" s="25"/>
    </row>
    <row r="90" spans="1:66" ht="13.5" customHeight="1" x14ac:dyDescent="0.2">
      <c r="A90" s="22"/>
      <c r="B90" s="23"/>
      <c r="C90" s="23"/>
      <c r="D90" s="24"/>
      <c r="E90" s="24"/>
      <c r="F90" s="24"/>
      <c r="G90" s="24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  <c r="AP90" s="31"/>
      <c r="AS90" s="31"/>
      <c r="AY90" s="25"/>
      <c r="BF90" s="25"/>
      <c r="BG90" s="25"/>
      <c r="BH90" s="25"/>
      <c r="BI90" s="25"/>
      <c r="BJ90" s="24"/>
      <c r="BK90" s="24"/>
      <c r="BL90" s="25"/>
      <c r="BM90" s="25"/>
      <c r="BN90" s="25"/>
    </row>
    <row r="91" spans="1:66" ht="13.5" customHeight="1" x14ac:dyDescent="0.2">
      <c r="A91" s="22"/>
      <c r="B91" s="23"/>
      <c r="C91" s="23"/>
      <c r="D91" s="24"/>
      <c r="E91" s="24"/>
      <c r="F91" s="24"/>
      <c r="G91" s="24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7"/>
      <c r="AP91" s="31"/>
      <c r="AS91" s="31"/>
      <c r="AY91" s="25"/>
      <c r="BF91" s="25"/>
      <c r="BG91" s="25"/>
      <c r="BH91" s="25"/>
      <c r="BI91" s="25"/>
      <c r="BJ91" s="24"/>
      <c r="BK91" s="24"/>
      <c r="BL91" s="25"/>
      <c r="BM91" s="25"/>
      <c r="BN91" s="25"/>
    </row>
    <row r="92" spans="1:66" ht="13.5" customHeight="1" x14ac:dyDescent="0.2">
      <c r="A92" s="22"/>
      <c r="B92" s="23"/>
      <c r="C92" s="23"/>
      <c r="D92" s="24"/>
      <c r="E92" s="24"/>
      <c r="F92" s="24"/>
      <c r="G92" s="24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7"/>
      <c r="AP92" s="31"/>
      <c r="AS92" s="31"/>
      <c r="AY92" s="25"/>
      <c r="BF92" s="25"/>
      <c r="BG92" s="25"/>
      <c r="BH92" s="25"/>
      <c r="BI92" s="25"/>
      <c r="BJ92" s="24"/>
      <c r="BK92" s="24"/>
      <c r="BL92" s="25"/>
      <c r="BM92" s="25"/>
      <c r="BN92" s="25"/>
    </row>
    <row r="93" spans="1:66" ht="13.5" customHeight="1" x14ac:dyDescent="0.2">
      <c r="A93" s="22"/>
      <c r="B93" s="23"/>
      <c r="C93" s="23"/>
      <c r="D93" s="24"/>
      <c r="E93" s="24"/>
      <c r="F93" s="24"/>
      <c r="G93" s="24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7"/>
      <c r="AP93" s="31"/>
      <c r="AS93" s="31"/>
      <c r="AY93" s="25"/>
      <c r="BF93" s="25"/>
      <c r="BG93" s="25"/>
      <c r="BH93" s="25"/>
      <c r="BI93" s="25"/>
      <c r="BJ93" s="24"/>
      <c r="BK93" s="24"/>
      <c r="BL93" s="25"/>
      <c r="BM93" s="25"/>
      <c r="BN93" s="25"/>
    </row>
    <row r="94" spans="1:66" ht="13.5" customHeight="1" x14ac:dyDescent="0.2">
      <c r="A94" s="22"/>
      <c r="B94" s="23"/>
      <c r="C94" s="23"/>
      <c r="D94" s="24"/>
      <c r="E94" s="24"/>
      <c r="F94" s="24"/>
      <c r="G94" s="24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7"/>
      <c r="AP94" s="31"/>
      <c r="AS94" s="31"/>
      <c r="AY94" s="25"/>
      <c r="BF94" s="25"/>
      <c r="BG94" s="25"/>
      <c r="BH94" s="25"/>
      <c r="BI94" s="25"/>
      <c r="BJ94" s="24"/>
      <c r="BK94" s="24"/>
      <c r="BL94" s="25"/>
      <c r="BM94" s="25"/>
      <c r="BN94" s="25"/>
    </row>
    <row r="95" spans="1:66" ht="13.5" customHeight="1" x14ac:dyDescent="0.2">
      <c r="A95" s="22"/>
      <c r="B95" s="23"/>
      <c r="C95" s="23"/>
      <c r="D95" s="24"/>
      <c r="E95" s="24"/>
      <c r="F95" s="24"/>
      <c r="G95" s="24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7"/>
      <c r="AP95" s="31"/>
      <c r="AS95" s="31"/>
      <c r="AY95" s="25"/>
      <c r="BF95" s="25"/>
      <c r="BG95" s="25"/>
      <c r="BH95" s="25"/>
      <c r="BI95" s="25"/>
      <c r="BJ95" s="24"/>
      <c r="BK95" s="24"/>
      <c r="BL95" s="25"/>
      <c r="BM95" s="25"/>
      <c r="BN95" s="25"/>
    </row>
    <row r="96" spans="1:66" ht="13.5" customHeight="1" x14ac:dyDescent="0.2">
      <c r="A96" s="22"/>
      <c r="B96" s="23"/>
      <c r="C96" s="23"/>
      <c r="D96" s="24"/>
      <c r="E96" s="24"/>
      <c r="F96" s="24"/>
      <c r="G96" s="24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7"/>
      <c r="AP96" s="31"/>
      <c r="AS96" s="31"/>
      <c r="AY96" s="25"/>
      <c r="BF96" s="25"/>
      <c r="BG96" s="25"/>
      <c r="BH96" s="25"/>
      <c r="BI96" s="25"/>
      <c r="BJ96" s="24"/>
      <c r="BK96" s="24"/>
      <c r="BL96" s="25"/>
      <c r="BM96" s="25"/>
      <c r="BN96" s="25"/>
    </row>
    <row r="97" spans="1:66" ht="13.5" customHeight="1" x14ac:dyDescent="0.2">
      <c r="A97" s="22"/>
      <c r="B97" s="23"/>
      <c r="C97" s="23"/>
      <c r="D97" s="24"/>
      <c r="E97" s="24"/>
      <c r="F97" s="24"/>
      <c r="G97" s="24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7"/>
      <c r="AP97" s="31"/>
      <c r="AS97" s="31"/>
      <c r="AY97" s="25"/>
      <c r="BF97" s="25"/>
      <c r="BG97" s="25"/>
      <c r="BH97" s="25"/>
      <c r="BI97" s="25"/>
      <c r="BJ97" s="24"/>
      <c r="BK97" s="24"/>
      <c r="BL97" s="25"/>
      <c r="BM97" s="25"/>
      <c r="BN97" s="25"/>
    </row>
    <row r="98" spans="1:66" ht="13.5" customHeight="1" x14ac:dyDescent="0.2">
      <c r="A98" s="22"/>
      <c r="B98" s="23"/>
      <c r="C98" s="23"/>
      <c r="D98" s="24"/>
      <c r="E98" s="24"/>
      <c r="F98" s="24"/>
      <c r="G98" s="24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7"/>
      <c r="AP98" s="31"/>
      <c r="AS98" s="31"/>
      <c r="AY98" s="25"/>
      <c r="BF98" s="25"/>
      <c r="BG98" s="25"/>
      <c r="BH98" s="25"/>
      <c r="BI98" s="25"/>
      <c r="BJ98" s="24"/>
      <c r="BK98" s="24"/>
      <c r="BL98" s="25"/>
      <c r="BM98" s="25"/>
      <c r="BN98" s="25"/>
    </row>
    <row r="99" spans="1:66" ht="13.5" customHeight="1" x14ac:dyDescent="0.2">
      <c r="A99" s="22"/>
      <c r="B99" s="23"/>
      <c r="C99" s="23"/>
      <c r="D99" s="24"/>
      <c r="E99" s="24"/>
      <c r="F99" s="24"/>
      <c r="G99" s="24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7"/>
      <c r="AP99" s="31"/>
      <c r="AS99" s="31"/>
      <c r="AY99" s="25"/>
      <c r="BF99" s="25"/>
      <c r="BG99" s="25"/>
      <c r="BH99" s="25"/>
      <c r="BI99" s="25"/>
      <c r="BJ99" s="24"/>
      <c r="BK99" s="24"/>
      <c r="BL99" s="25"/>
      <c r="BM99" s="25"/>
      <c r="BN99" s="25"/>
    </row>
    <row r="100" spans="1:66" ht="13.5" customHeight="1" x14ac:dyDescent="0.2">
      <c r="A100" s="22"/>
      <c r="B100" s="23"/>
      <c r="C100" s="23"/>
      <c r="D100" s="24"/>
      <c r="E100" s="24"/>
      <c r="F100" s="24"/>
      <c r="G100" s="24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7"/>
      <c r="AP100" s="31"/>
      <c r="AS100" s="31"/>
      <c r="AY100" s="25"/>
      <c r="BF100" s="25"/>
      <c r="BG100" s="25"/>
      <c r="BH100" s="25"/>
      <c r="BI100" s="25"/>
      <c r="BJ100" s="24"/>
      <c r="BK100" s="24"/>
      <c r="BL100" s="25"/>
      <c r="BM100" s="25"/>
      <c r="BN100" s="25"/>
    </row>
    <row r="101" spans="1:66" ht="13.5" customHeight="1" x14ac:dyDescent="0.2">
      <c r="A101" s="22"/>
      <c r="B101" s="23"/>
      <c r="C101" s="23"/>
      <c r="D101" s="24"/>
      <c r="E101" s="24"/>
      <c r="F101" s="24"/>
      <c r="G101" s="24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7"/>
      <c r="AP101" s="31"/>
      <c r="AS101" s="31"/>
      <c r="AY101" s="25"/>
      <c r="BF101" s="25"/>
      <c r="BG101" s="25"/>
      <c r="BH101" s="25"/>
      <c r="BI101" s="25"/>
      <c r="BJ101" s="24"/>
      <c r="BK101" s="24"/>
      <c r="BL101" s="25"/>
      <c r="BM101" s="25"/>
      <c r="BN101" s="25"/>
    </row>
    <row r="102" spans="1:66" ht="13.5" customHeight="1" x14ac:dyDescent="0.2">
      <c r="A102" s="22"/>
      <c r="B102" s="23"/>
      <c r="C102" s="23"/>
      <c r="D102" s="24"/>
      <c r="E102" s="24"/>
      <c r="F102" s="24"/>
      <c r="G102" s="24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7"/>
      <c r="AP102" s="31"/>
      <c r="AS102" s="31"/>
      <c r="AY102" s="25"/>
      <c r="BF102" s="25"/>
      <c r="BG102" s="25"/>
      <c r="BH102" s="25"/>
      <c r="BI102" s="25"/>
      <c r="BJ102" s="24"/>
      <c r="BK102" s="24"/>
      <c r="BL102" s="25"/>
      <c r="BM102" s="25"/>
      <c r="BN102" s="25"/>
    </row>
    <row r="103" spans="1:66" ht="13.5" customHeight="1" x14ac:dyDescent="0.2">
      <c r="A103" s="22"/>
      <c r="B103" s="23"/>
      <c r="C103" s="23"/>
      <c r="D103" s="24"/>
      <c r="E103" s="24"/>
      <c r="F103" s="24"/>
      <c r="G103" s="24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7"/>
      <c r="AP103" s="31"/>
      <c r="AS103" s="31"/>
      <c r="AY103" s="25"/>
      <c r="BF103" s="25"/>
      <c r="BG103" s="25"/>
      <c r="BH103" s="25"/>
      <c r="BI103" s="25"/>
      <c r="BJ103" s="24"/>
      <c r="BK103" s="24"/>
      <c r="BL103" s="25"/>
      <c r="BM103" s="25"/>
      <c r="BN103" s="25"/>
    </row>
    <row r="104" spans="1:66" ht="13.5" customHeight="1" x14ac:dyDescent="0.2">
      <c r="A104" s="22"/>
      <c r="B104" s="23"/>
      <c r="C104" s="23"/>
      <c r="D104" s="24"/>
      <c r="E104" s="24"/>
      <c r="F104" s="24"/>
      <c r="G104" s="24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7"/>
      <c r="AP104" s="31"/>
      <c r="AS104" s="31"/>
      <c r="AY104" s="25"/>
      <c r="BF104" s="25"/>
      <c r="BG104" s="25"/>
      <c r="BH104" s="25"/>
      <c r="BI104" s="25"/>
      <c r="BJ104" s="24"/>
      <c r="BK104" s="24"/>
      <c r="BL104" s="25"/>
      <c r="BM104" s="25"/>
      <c r="BN104" s="25"/>
    </row>
    <row r="105" spans="1:66" ht="13.5" customHeight="1" x14ac:dyDescent="0.2">
      <c r="A105" s="22"/>
      <c r="B105" s="23"/>
      <c r="C105" s="23"/>
      <c r="D105" s="24"/>
      <c r="E105" s="24"/>
      <c r="F105" s="24"/>
      <c r="G105" s="24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7"/>
      <c r="AP105" s="31"/>
      <c r="AS105" s="31"/>
      <c r="AY105" s="25"/>
      <c r="BF105" s="25"/>
      <c r="BG105" s="25"/>
      <c r="BH105" s="25"/>
      <c r="BI105" s="25"/>
      <c r="BJ105" s="24"/>
      <c r="BK105" s="24"/>
      <c r="BL105" s="25"/>
      <c r="BM105" s="25"/>
      <c r="BN105" s="25"/>
    </row>
    <row r="106" spans="1:66" ht="13.5" customHeight="1" x14ac:dyDescent="0.2">
      <c r="A106" s="22"/>
      <c r="B106" s="23"/>
      <c r="C106" s="23"/>
      <c r="D106" s="24"/>
      <c r="E106" s="24"/>
      <c r="F106" s="24"/>
      <c r="G106" s="24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7"/>
      <c r="AP106" s="31"/>
      <c r="AS106" s="31"/>
      <c r="AY106" s="25"/>
      <c r="BF106" s="25"/>
      <c r="BG106" s="25"/>
      <c r="BH106" s="25"/>
      <c r="BI106" s="25"/>
      <c r="BJ106" s="24"/>
      <c r="BK106" s="24"/>
      <c r="BL106" s="25"/>
      <c r="BM106" s="25"/>
      <c r="BN106" s="25"/>
    </row>
    <row r="107" spans="1:66" ht="13.5" customHeight="1" x14ac:dyDescent="0.2">
      <c r="A107" s="22"/>
      <c r="B107" s="23"/>
      <c r="C107" s="23"/>
      <c r="D107" s="24"/>
      <c r="E107" s="24"/>
      <c r="F107" s="24"/>
      <c r="G107" s="24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7"/>
      <c r="AP107" s="31"/>
      <c r="AS107" s="31"/>
      <c r="AY107" s="25"/>
      <c r="BF107" s="25"/>
      <c r="BG107" s="25"/>
      <c r="BH107" s="25"/>
      <c r="BI107" s="25"/>
      <c r="BJ107" s="24"/>
      <c r="BK107" s="24"/>
      <c r="BL107" s="25"/>
      <c r="BM107" s="25"/>
      <c r="BN107" s="25"/>
    </row>
    <row r="108" spans="1:66" ht="13.5" customHeight="1" x14ac:dyDescent="0.2">
      <c r="A108" s="22"/>
      <c r="B108" s="23"/>
      <c r="C108" s="23"/>
      <c r="D108" s="24"/>
      <c r="E108" s="24"/>
      <c r="F108" s="24"/>
      <c r="G108" s="24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7"/>
      <c r="AP108" s="31"/>
      <c r="AS108" s="31"/>
      <c r="AY108" s="25"/>
      <c r="BF108" s="25"/>
      <c r="BG108" s="25"/>
      <c r="BH108" s="25"/>
      <c r="BI108" s="25"/>
      <c r="BJ108" s="24"/>
      <c r="BK108" s="24"/>
      <c r="BL108" s="25"/>
      <c r="BM108" s="25"/>
      <c r="BN108" s="25"/>
    </row>
    <row r="109" spans="1:66" ht="13.5" customHeight="1" x14ac:dyDescent="0.2">
      <c r="A109" s="22"/>
      <c r="B109" s="23"/>
      <c r="C109" s="23"/>
      <c r="D109" s="24"/>
      <c r="E109" s="24"/>
      <c r="F109" s="24"/>
      <c r="G109" s="24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7"/>
      <c r="AP109" s="31"/>
      <c r="AS109" s="31"/>
      <c r="AY109" s="25"/>
      <c r="BF109" s="25"/>
      <c r="BG109" s="25"/>
      <c r="BH109" s="25"/>
      <c r="BI109" s="25"/>
      <c r="BJ109" s="24"/>
      <c r="BK109" s="24"/>
      <c r="BL109" s="25"/>
      <c r="BM109" s="25"/>
      <c r="BN109" s="25"/>
    </row>
    <row r="110" spans="1:66" ht="13.5" customHeight="1" x14ac:dyDescent="0.2">
      <c r="A110" s="22"/>
      <c r="B110" s="23"/>
      <c r="C110" s="23"/>
      <c r="D110" s="24"/>
      <c r="E110" s="24"/>
      <c r="F110" s="24"/>
      <c r="G110" s="24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7"/>
      <c r="AP110" s="31"/>
      <c r="AS110" s="31"/>
      <c r="AY110" s="25"/>
      <c r="BF110" s="25"/>
      <c r="BG110" s="25"/>
      <c r="BH110" s="25"/>
      <c r="BI110" s="25"/>
      <c r="BJ110" s="24"/>
      <c r="BK110" s="24"/>
      <c r="BL110" s="25"/>
      <c r="BM110" s="25"/>
      <c r="BN110" s="25"/>
    </row>
    <row r="111" spans="1:66" ht="13.5" customHeight="1" x14ac:dyDescent="0.2">
      <c r="A111" s="22"/>
      <c r="B111" s="23"/>
      <c r="C111" s="23"/>
      <c r="D111" s="24"/>
      <c r="E111" s="24"/>
      <c r="F111" s="24"/>
      <c r="G111" s="24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7"/>
      <c r="AP111" s="31"/>
      <c r="AS111" s="31"/>
      <c r="AY111" s="25"/>
      <c r="BF111" s="25"/>
      <c r="BG111" s="25"/>
      <c r="BH111" s="25"/>
      <c r="BI111" s="25"/>
      <c r="BJ111" s="24"/>
      <c r="BK111" s="24"/>
      <c r="BL111" s="25"/>
      <c r="BM111" s="25"/>
      <c r="BN111" s="25"/>
    </row>
    <row r="112" spans="1:66" ht="13.5" customHeight="1" x14ac:dyDescent="0.2">
      <c r="A112" s="22"/>
      <c r="B112" s="23"/>
      <c r="C112" s="23"/>
      <c r="D112" s="24"/>
      <c r="E112" s="24"/>
      <c r="F112" s="24"/>
      <c r="G112" s="24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7"/>
      <c r="AP112" s="31"/>
      <c r="AS112" s="31"/>
      <c r="AY112" s="25"/>
      <c r="BF112" s="25"/>
      <c r="BG112" s="25"/>
      <c r="BH112" s="25"/>
      <c r="BI112" s="25"/>
      <c r="BJ112" s="24"/>
      <c r="BK112" s="24"/>
      <c r="BL112" s="25"/>
      <c r="BM112" s="25"/>
      <c r="BN112" s="25"/>
    </row>
    <row r="113" spans="1:66" ht="13.5" customHeight="1" x14ac:dyDescent="0.2">
      <c r="A113" s="22"/>
      <c r="B113" s="23"/>
      <c r="C113" s="23"/>
      <c r="D113" s="24"/>
      <c r="E113" s="24"/>
      <c r="F113" s="24"/>
      <c r="G113" s="24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7"/>
      <c r="AP113" s="31"/>
      <c r="AS113" s="31"/>
      <c r="AY113" s="25"/>
      <c r="BF113" s="25"/>
      <c r="BG113" s="25"/>
      <c r="BH113" s="25"/>
      <c r="BI113" s="25"/>
      <c r="BJ113" s="24"/>
      <c r="BK113" s="24"/>
      <c r="BL113" s="25"/>
      <c r="BM113" s="25"/>
      <c r="BN113" s="25"/>
    </row>
    <row r="114" spans="1:66" ht="13.5" customHeight="1" x14ac:dyDescent="0.2">
      <c r="A114" s="22"/>
      <c r="B114" s="23"/>
      <c r="C114" s="23"/>
      <c r="D114" s="24"/>
      <c r="E114" s="24"/>
      <c r="F114" s="24"/>
      <c r="G114" s="24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7"/>
      <c r="AP114" s="31"/>
      <c r="AS114" s="31"/>
      <c r="AY114" s="25"/>
      <c r="BF114" s="25"/>
      <c r="BG114" s="25"/>
      <c r="BH114" s="25"/>
      <c r="BI114" s="25"/>
      <c r="BJ114" s="24"/>
      <c r="BK114" s="24"/>
      <c r="BL114" s="25"/>
      <c r="BM114" s="25"/>
      <c r="BN114" s="25"/>
    </row>
    <row r="115" spans="1:66" ht="13.5" customHeight="1" x14ac:dyDescent="0.2">
      <c r="A115" s="22"/>
      <c r="B115" s="23"/>
      <c r="C115" s="23"/>
      <c r="D115" s="24"/>
      <c r="E115" s="24"/>
      <c r="F115" s="24"/>
      <c r="G115" s="24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7"/>
      <c r="AP115" s="31"/>
      <c r="AS115" s="31"/>
      <c r="AY115" s="25"/>
      <c r="BF115" s="25"/>
      <c r="BG115" s="25"/>
      <c r="BH115" s="25"/>
      <c r="BI115" s="25"/>
      <c r="BJ115" s="24"/>
      <c r="BK115" s="24"/>
      <c r="BL115" s="25"/>
      <c r="BM115" s="25"/>
      <c r="BN115" s="25"/>
    </row>
    <row r="116" spans="1:66" ht="13.5" customHeight="1" x14ac:dyDescent="0.2">
      <c r="A116" s="22"/>
      <c r="B116" s="23"/>
      <c r="C116" s="23"/>
      <c r="D116" s="24"/>
      <c r="E116" s="24"/>
      <c r="F116" s="24"/>
      <c r="G116" s="24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7"/>
      <c r="AP116" s="31"/>
      <c r="AS116" s="31"/>
      <c r="AY116" s="25"/>
      <c r="BF116" s="25"/>
      <c r="BG116" s="25"/>
      <c r="BH116" s="25"/>
      <c r="BI116" s="25"/>
      <c r="BJ116" s="24"/>
      <c r="BK116" s="24"/>
      <c r="BL116" s="25"/>
      <c r="BM116" s="25"/>
      <c r="BN116" s="25"/>
    </row>
    <row r="117" spans="1:66" ht="13.5" customHeight="1" x14ac:dyDescent="0.2">
      <c r="A117" s="22"/>
      <c r="B117" s="23"/>
      <c r="C117" s="23"/>
      <c r="D117" s="24"/>
      <c r="E117" s="24"/>
      <c r="F117" s="24"/>
      <c r="G117" s="24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7"/>
      <c r="AP117" s="31"/>
      <c r="AS117" s="31"/>
      <c r="AY117" s="25"/>
      <c r="BF117" s="25"/>
      <c r="BG117" s="25"/>
      <c r="BH117" s="25"/>
      <c r="BI117" s="25"/>
      <c r="BJ117" s="24"/>
      <c r="BK117" s="24"/>
      <c r="BL117" s="25"/>
      <c r="BM117" s="25"/>
      <c r="BN117" s="25"/>
    </row>
    <row r="118" spans="1:66" ht="13.5" customHeight="1" x14ac:dyDescent="0.2">
      <c r="A118" s="22"/>
      <c r="B118" s="23"/>
      <c r="C118" s="23"/>
      <c r="D118" s="24"/>
      <c r="E118" s="24"/>
      <c r="F118" s="24"/>
      <c r="G118" s="24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7"/>
      <c r="AP118" s="31"/>
      <c r="AS118" s="31"/>
      <c r="AY118" s="25"/>
      <c r="BF118" s="25"/>
      <c r="BG118" s="25"/>
      <c r="BH118" s="25"/>
      <c r="BI118" s="25"/>
      <c r="BJ118" s="24"/>
      <c r="BK118" s="24"/>
      <c r="BL118" s="25"/>
      <c r="BM118" s="25"/>
      <c r="BN118" s="25"/>
    </row>
    <row r="119" spans="1:66" ht="13.5" customHeight="1" x14ac:dyDescent="0.2">
      <c r="A119" s="22"/>
      <c r="B119" s="23"/>
      <c r="C119" s="23"/>
      <c r="D119" s="24"/>
      <c r="E119" s="24"/>
      <c r="F119" s="24"/>
      <c r="G119" s="24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7"/>
      <c r="AP119" s="31"/>
      <c r="AS119" s="31"/>
      <c r="AY119" s="25"/>
      <c r="BF119" s="25"/>
      <c r="BG119" s="25"/>
      <c r="BH119" s="25"/>
      <c r="BI119" s="25"/>
      <c r="BJ119" s="24"/>
      <c r="BK119" s="24"/>
      <c r="BL119" s="25"/>
      <c r="BM119" s="25"/>
      <c r="BN119" s="25"/>
    </row>
    <row r="120" spans="1:66" ht="13.5" customHeight="1" x14ac:dyDescent="0.2">
      <c r="A120" s="22"/>
      <c r="B120" s="23"/>
      <c r="C120" s="23"/>
      <c r="D120" s="24"/>
      <c r="E120" s="24"/>
      <c r="F120" s="24"/>
      <c r="G120" s="24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7"/>
      <c r="AP120" s="31"/>
      <c r="AS120" s="31"/>
      <c r="AY120" s="25"/>
      <c r="BF120" s="25"/>
      <c r="BG120" s="25"/>
      <c r="BH120" s="25"/>
      <c r="BI120" s="25"/>
      <c r="BJ120" s="24"/>
      <c r="BK120" s="24"/>
      <c r="BL120" s="25"/>
      <c r="BM120" s="25"/>
      <c r="BN120" s="25"/>
    </row>
    <row r="121" spans="1:66" ht="13.5" customHeight="1" x14ac:dyDescent="0.2">
      <c r="A121" s="22"/>
      <c r="B121" s="23"/>
      <c r="C121" s="23"/>
      <c r="D121" s="24"/>
      <c r="E121" s="24"/>
      <c r="F121" s="24"/>
      <c r="G121" s="24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7"/>
      <c r="AP121" s="31"/>
      <c r="AS121" s="31"/>
      <c r="AY121" s="25"/>
      <c r="BF121" s="25"/>
      <c r="BG121" s="25"/>
      <c r="BH121" s="25"/>
      <c r="BI121" s="25"/>
      <c r="BJ121" s="24"/>
      <c r="BK121" s="24"/>
      <c r="BL121" s="25"/>
      <c r="BM121" s="25"/>
      <c r="BN121" s="25"/>
    </row>
    <row r="122" spans="1:66" ht="13.5" customHeight="1" x14ac:dyDescent="0.2">
      <c r="A122" s="22"/>
      <c r="B122" s="23"/>
      <c r="C122" s="23"/>
      <c r="D122" s="24"/>
      <c r="E122" s="24"/>
      <c r="F122" s="24"/>
      <c r="G122" s="24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7"/>
      <c r="AP122" s="31"/>
      <c r="AS122" s="31"/>
      <c r="AY122" s="25"/>
      <c r="BF122" s="25"/>
      <c r="BG122" s="25"/>
      <c r="BH122" s="25"/>
      <c r="BI122" s="25"/>
      <c r="BJ122" s="24"/>
      <c r="BK122" s="24"/>
      <c r="BL122" s="25"/>
      <c r="BM122" s="25"/>
      <c r="BN122" s="25"/>
    </row>
    <row r="123" spans="1:66" ht="13.5" customHeight="1" x14ac:dyDescent="0.2">
      <c r="A123" s="22"/>
      <c r="B123" s="23"/>
      <c r="C123" s="23"/>
      <c r="D123" s="24"/>
      <c r="E123" s="24"/>
      <c r="F123" s="24"/>
      <c r="G123" s="24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7"/>
      <c r="AP123" s="31"/>
      <c r="AS123" s="31"/>
      <c r="AY123" s="25"/>
      <c r="BF123" s="25"/>
      <c r="BG123" s="25"/>
      <c r="BH123" s="25"/>
      <c r="BI123" s="25"/>
      <c r="BJ123" s="24"/>
      <c r="BK123" s="24"/>
      <c r="BL123" s="25"/>
      <c r="BM123" s="25"/>
      <c r="BN123" s="25"/>
    </row>
    <row r="124" spans="1:66" ht="13.5" customHeight="1" x14ac:dyDescent="0.2">
      <c r="A124" s="22"/>
      <c r="B124" s="23"/>
      <c r="C124" s="23"/>
      <c r="D124" s="24"/>
      <c r="E124" s="24"/>
      <c r="F124" s="24"/>
      <c r="G124" s="24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7"/>
      <c r="AP124" s="31"/>
      <c r="AS124" s="31"/>
      <c r="AY124" s="25"/>
      <c r="BF124" s="25"/>
      <c r="BG124" s="25"/>
      <c r="BH124" s="25"/>
      <c r="BI124" s="25"/>
      <c r="BJ124" s="24"/>
      <c r="BK124" s="24"/>
      <c r="BL124" s="25"/>
      <c r="BM124" s="25"/>
      <c r="BN124" s="25"/>
    </row>
    <row r="125" spans="1:66" ht="13.5" customHeight="1" x14ac:dyDescent="0.2">
      <c r="A125" s="22"/>
      <c r="B125" s="23"/>
      <c r="C125" s="23"/>
      <c r="D125" s="24"/>
      <c r="E125" s="24"/>
      <c r="F125" s="24"/>
      <c r="G125" s="24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7"/>
      <c r="AP125" s="31"/>
      <c r="AS125" s="31"/>
      <c r="AY125" s="25"/>
      <c r="BF125" s="25"/>
      <c r="BG125" s="25"/>
      <c r="BH125" s="25"/>
      <c r="BI125" s="25"/>
      <c r="BJ125" s="24"/>
      <c r="BK125" s="24"/>
      <c r="BL125" s="25"/>
      <c r="BM125" s="25"/>
      <c r="BN125" s="25"/>
    </row>
    <row r="126" spans="1:66" ht="13.5" customHeight="1" x14ac:dyDescent="0.2">
      <c r="A126" s="22"/>
      <c r="B126" s="23"/>
      <c r="C126" s="23"/>
      <c r="D126" s="24"/>
      <c r="E126" s="24"/>
      <c r="F126" s="24"/>
      <c r="G126" s="24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7"/>
      <c r="AP126" s="31"/>
      <c r="AS126" s="31"/>
      <c r="AY126" s="25"/>
      <c r="BF126" s="25"/>
      <c r="BG126" s="25"/>
      <c r="BH126" s="25"/>
      <c r="BI126" s="25"/>
      <c r="BJ126" s="24"/>
      <c r="BK126" s="24"/>
      <c r="BL126" s="25"/>
      <c r="BM126" s="25"/>
      <c r="BN126" s="25"/>
    </row>
    <row r="127" spans="1:66" ht="13.5" customHeight="1" x14ac:dyDescent="0.2">
      <c r="A127" s="22"/>
      <c r="B127" s="23"/>
      <c r="C127" s="23"/>
      <c r="D127" s="24"/>
      <c r="E127" s="24"/>
      <c r="F127" s="24"/>
      <c r="G127" s="24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7"/>
      <c r="AP127" s="31"/>
      <c r="AS127" s="31"/>
      <c r="AY127" s="25"/>
      <c r="BF127" s="25"/>
      <c r="BG127" s="25"/>
      <c r="BH127" s="25"/>
      <c r="BI127" s="25"/>
      <c r="BJ127" s="24"/>
      <c r="BK127" s="24"/>
      <c r="BL127" s="25"/>
      <c r="BM127" s="25"/>
      <c r="BN127" s="25"/>
    </row>
    <row r="128" spans="1:66" ht="13.5" customHeight="1" x14ac:dyDescent="0.2">
      <c r="A128" s="22"/>
      <c r="B128" s="23"/>
      <c r="C128" s="23"/>
      <c r="D128" s="24"/>
      <c r="E128" s="24"/>
      <c r="F128" s="24"/>
      <c r="G128" s="24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7"/>
      <c r="AP128" s="31"/>
      <c r="AS128" s="31"/>
      <c r="AY128" s="25"/>
      <c r="BF128" s="25"/>
      <c r="BG128" s="25"/>
      <c r="BH128" s="25"/>
      <c r="BI128" s="25"/>
      <c r="BJ128" s="24"/>
      <c r="BK128" s="24"/>
      <c r="BL128" s="25"/>
      <c r="BM128" s="25"/>
      <c r="BN128" s="25"/>
    </row>
    <row r="129" spans="1:66" ht="13.5" customHeight="1" x14ac:dyDescent="0.2">
      <c r="A129" s="22"/>
      <c r="B129" s="23"/>
      <c r="C129" s="23"/>
      <c r="D129" s="24"/>
      <c r="E129" s="24"/>
      <c r="F129" s="24"/>
      <c r="G129" s="24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7"/>
      <c r="AP129" s="31"/>
      <c r="AS129" s="31"/>
      <c r="AY129" s="25"/>
      <c r="BF129" s="25"/>
      <c r="BG129" s="25"/>
      <c r="BH129" s="25"/>
      <c r="BI129" s="25"/>
      <c r="BJ129" s="24"/>
      <c r="BK129" s="24"/>
      <c r="BL129" s="25"/>
      <c r="BM129" s="25"/>
      <c r="BN129" s="25"/>
    </row>
    <row r="130" spans="1:66" ht="13.5" customHeight="1" x14ac:dyDescent="0.2">
      <c r="A130" s="22"/>
      <c r="B130" s="23"/>
      <c r="C130" s="23"/>
      <c r="D130" s="24"/>
      <c r="E130" s="24"/>
      <c r="F130" s="24"/>
      <c r="G130" s="24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7"/>
      <c r="AP130" s="31"/>
      <c r="AS130" s="31"/>
      <c r="AY130" s="25"/>
      <c r="BF130" s="25"/>
      <c r="BG130" s="25"/>
      <c r="BH130" s="25"/>
      <c r="BI130" s="25"/>
      <c r="BJ130" s="24"/>
      <c r="BK130" s="24"/>
      <c r="BL130" s="25"/>
      <c r="BM130" s="25"/>
      <c r="BN130" s="25"/>
    </row>
    <row r="131" spans="1:66" ht="13.5" customHeight="1" x14ac:dyDescent="0.2">
      <c r="A131" s="22"/>
      <c r="B131" s="23"/>
      <c r="C131" s="23"/>
      <c r="D131" s="24"/>
      <c r="E131" s="24"/>
      <c r="F131" s="24"/>
      <c r="G131" s="24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7"/>
      <c r="AP131" s="31"/>
      <c r="AS131" s="31"/>
      <c r="AY131" s="25"/>
      <c r="BF131" s="25"/>
      <c r="BG131" s="25"/>
      <c r="BH131" s="25"/>
      <c r="BI131" s="25"/>
      <c r="BJ131" s="24"/>
      <c r="BK131" s="24"/>
      <c r="BL131" s="25"/>
      <c r="BM131" s="25"/>
      <c r="BN131" s="25"/>
    </row>
    <row r="132" spans="1:66" ht="13.5" customHeight="1" x14ac:dyDescent="0.2">
      <c r="A132" s="22"/>
      <c r="B132" s="23"/>
      <c r="C132" s="23"/>
      <c r="D132" s="24"/>
      <c r="E132" s="24"/>
      <c r="F132" s="24"/>
      <c r="G132" s="24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7"/>
      <c r="AP132" s="31"/>
      <c r="AS132" s="31"/>
      <c r="AY132" s="25"/>
      <c r="BF132" s="25"/>
      <c r="BG132" s="25"/>
      <c r="BH132" s="25"/>
      <c r="BI132" s="25"/>
      <c r="BJ132" s="24"/>
      <c r="BK132" s="24"/>
      <c r="BL132" s="25"/>
      <c r="BM132" s="25"/>
      <c r="BN132" s="25"/>
    </row>
    <row r="133" spans="1:66" ht="13.5" customHeight="1" x14ac:dyDescent="0.2">
      <c r="A133" s="22"/>
      <c r="B133" s="23"/>
      <c r="C133" s="23"/>
      <c r="D133" s="24"/>
      <c r="E133" s="24"/>
      <c r="F133" s="24"/>
      <c r="G133" s="24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7"/>
      <c r="AP133" s="31"/>
      <c r="AS133" s="31"/>
      <c r="AY133" s="25"/>
      <c r="BF133" s="25"/>
      <c r="BG133" s="25"/>
      <c r="BH133" s="25"/>
      <c r="BI133" s="25"/>
      <c r="BJ133" s="24"/>
      <c r="BK133" s="24"/>
      <c r="BL133" s="25"/>
      <c r="BM133" s="25"/>
      <c r="BN133" s="25"/>
    </row>
    <row r="134" spans="1:66" ht="13.5" customHeight="1" x14ac:dyDescent="0.2">
      <c r="A134" s="22"/>
      <c r="B134" s="23"/>
      <c r="C134" s="23"/>
      <c r="D134" s="24"/>
      <c r="E134" s="24"/>
      <c r="F134" s="24"/>
      <c r="G134" s="24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7"/>
      <c r="AP134" s="31"/>
      <c r="AS134" s="31"/>
      <c r="AY134" s="25"/>
      <c r="BF134" s="25"/>
      <c r="BG134" s="25"/>
      <c r="BH134" s="25"/>
      <c r="BI134" s="25"/>
      <c r="BJ134" s="24"/>
      <c r="BK134" s="24"/>
      <c r="BL134" s="25"/>
      <c r="BM134" s="25"/>
      <c r="BN134" s="25"/>
    </row>
    <row r="135" spans="1:66" ht="13.5" customHeight="1" x14ac:dyDescent="0.2">
      <c r="A135" s="22"/>
      <c r="B135" s="23"/>
      <c r="C135" s="23"/>
      <c r="D135" s="24"/>
      <c r="E135" s="24"/>
      <c r="F135" s="24"/>
      <c r="G135" s="24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7"/>
      <c r="AP135" s="31"/>
      <c r="AS135" s="31"/>
      <c r="AY135" s="25"/>
      <c r="BF135" s="25"/>
      <c r="BG135" s="25"/>
      <c r="BH135" s="25"/>
      <c r="BI135" s="25"/>
      <c r="BJ135" s="24"/>
      <c r="BK135" s="24"/>
      <c r="BL135" s="25"/>
      <c r="BM135" s="25"/>
      <c r="BN135" s="25"/>
    </row>
    <row r="136" spans="1:66" ht="13.5" customHeight="1" x14ac:dyDescent="0.2">
      <c r="A136" s="22"/>
      <c r="B136" s="23"/>
      <c r="C136" s="23"/>
      <c r="D136" s="24"/>
      <c r="E136" s="24"/>
      <c r="F136" s="24"/>
      <c r="G136" s="24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7"/>
      <c r="AP136" s="31"/>
      <c r="AS136" s="31"/>
      <c r="AY136" s="25"/>
      <c r="BF136" s="25"/>
      <c r="BG136" s="25"/>
      <c r="BH136" s="25"/>
      <c r="BI136" s="25"/>
      <c r="BJ136" s="24"/>
      <c r="BK136" s="24"/>
      <c r="BL136" s="25"/>
      <c r="BM136" s="25"/>
      <c r="BN136" s="25"/>
    </row>
    <row r="137" spans="1:66" ht="13.5" customHeight="1" x14ac:dyDescent="0.2">
      <c r="A137" s="22"/>
      <c r="B137" s="23"/>
      <c r="C137" s="23"/>
      <c r="D137" s="24"/>
      <c r="E137" s="24"/>
      <c r="F137" s="24"/>
      <c r="G137" s="24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7"/>
      <c r="AP137" s="31"/>
      <c r="AS137" s="31"/>
      <c r="AY137" s="25"/>
      <c r="BF137" s="25"/>
      <c r="BG137" s="25"/>
      <c r="BH137" s="25"/>
      <c r="BI137" s="25"/>
      <c r="BJ137" s="24"/>
      <c r="BK137" s="24"/>
      <c r="BL137" s="25"/>
      <c r="BM137" s="25"/>
      <c r="BN137" s="25"/>
    </row>
    <row r="138" spans="1:66" ht="13.5" customHeight="1" x14ac:dyDescent="0.2">
      <c r="A138" s="22"/>
      <c r="B138" s="23"/>
      <c r="C138" s="23"/>
      <c r="D138" s="24"/>
      <c r="E138" s="24"/>
      <c r="F138" s="24"/>
      <c r="G138" s="24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7"/>
      <c r="AP138" s="31"/>
      <c r="AS138" s="31"/>
      <c r="AY138" s="25"/>
      <c r="BF138" s="25"/>
      <c r="BG138" s="25"/>
      <c r="BH138" s="25"/>
      <c r="BI138" s="25"/>
      <c r="BJ138" s="24"/>
      <c r="BK138" s="24"/>
      <c r="BL138" s="25"/>
      <c r="BM138" s="25"/>
      <c r="BN138" s="25"/>
    </row>
    <row r="139" spans="1:66" ht="13.5" customHeight="1" x14ac:dyDescent="0.2">
      <c r="A139" s="22"/>
      <c r="B139" s="23"/>
      <c r="C139" s="23"/>
      <c r="D139" s="24"/>
      <c r="E139" s="24"/>
      <c r="F139" s="24"/>
      <c r="G139" s="24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7"/>
      <c r="AP139" s="31"/>
      <c r="AS139" s="31"/>
      <c r="AY139" s="25"/>
      <c r="BF139" s="25"/>
      <c r="BG139" s="25"/>
      <c r="BH139" s="25"/>
      <c r="BI139" s="25"/>
      <c r="BJ139" s="24"/>
      <c r="BK139" s="24"/>
      <c r="BL139" s="25"/>
      <c r="BM139" s="25"/>
      <c r="BN139" s="25"/>
    </row>
    <row r="140" spans="1:66" ht="13.5" customHeight="1" x14ac:dyDescent="0.2">
      <c r="A140" s="22"/>
      <c r="B140" s="23"/>
      <c r="C140" s="23"/>
      <c r="D140" s="24"/>
      <c r="E140" s="24"/>
      <c r="F140" s="24"/>
      <c r="G140" s="24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7"/>
      <c r="AP140" s="31"/>
      <c r="AS140" s="31"/>
      <c r="AY140" s="25"/>
      <c r="BF140" s="25"/>
      <c r="BG140" s="25"/>
      <c r="BH140" s="25"/>
      <c r="BI140" s="25"/>
      <c r="BJ140" s="24"/>
      <c r="BK140" s="24"/>
      <c r="BL140" s="25"/>
      <c r="BM140" s="25"/>
      <c r="BN140" s="25"/>
    </row>
    <row r="141" spans="1:66" ht="13.5" customHeight="1" x14ac:dyDescent="0.2">
      <c r="A141" s="22"/>
      <c r="B141" s="23"/>
      <c r="C141" s="23"/>
      <c r="D141" s="24"/>
      <c r="E141" s="24"/>
      <c r="F141" s="24"/>
      <c r="G141" s="24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7"/>
      <c r="AP141" s="31"/>
      <c r="AS141" s="31"/>
      <c r="AY141" s="25"/>
      <c r="BF141" s="25"/>
      <c r="BG141" s="25"/>
      <c r="BH141" s="25"/>
      <c r="BI141" s="25"/>
      <c r="BJ141" s="24"/>
      <c r="BK141" s="24"/>
      <c r="BL141" s="25"/>
      <c r="BM141" s="25"/>
      <c r="BN141" s="25"/>
    </row>
    <row r="142" spans="1:66" ht="13.5" customHeight="1" x14ac:dyDescent="0.2">
      <c r="A142" s="22"/>
      <c r="B142" s="23"/>
      <c r="C142" s="23"/>
      <c r="D142" s="24"/>
      <c r="E142" s="24"/>
      <c r="F142" s="24"/>
      <c r="G142" s="24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7"/>
      <c r="AP142" s="31"/>
      <c r="AS142" s="31"/>
      <c r="AY142" s="25"/>
      <c r="BF142" s="25"/>
      <c r="BG142" s="25"/>
      <c r="BH142" s="25"/>
      <c r="BI142" s="25"/>
      <c r="BJ142" s="24"/>
      <c r="BK142" s="24"/>
      <c r="BL142" s="25"/>
      <c r="BM142" s="25"/>
      <c r="BN142" s="25"/>
    </row>
    <row r="143" spans="1:66" ht="13.5" customHeight="1" x14ac:dyDescent="0.2">
      <c r="A143" s="22"/>
      <c r="B143" s="23"/>
      <c r="C143" s="23"/>
      <c r="D143" s="24"/>
      <c r="E143" s="24"/>
      <c r="F143" s="24"/>
      <c r="G143" s="24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7"/>
      <c r="AP143" s="31"/>
      <c r="AS143" s="31"/>
      <c r="AY143" s="25"/>
      <c r="BF143" s="25"/>
      <c r="BG143" s="25"/>
      <c r="BH143" s="25"/>
      <c r="BI143" s="25"/>
      <c r="BJ143" s="24"/>
      <c r="BK143" s="24"/>
      <c r="BL143" s="25"/>
      <c r="BM143" s="25"/>
      <c r="BN143" s="25"/>
    </row>
    <row r="144" spans="1:66" ht="13.5" customHeight="1" x14ac:dyDescent="0.2">
      <c r="A144" s="22"/>
      <c r="B144" s="23"/>
      <c r="C144" s="23"/>
      <c r="D144" s="24"/>
      <c r="E144" s="24"/>
      <c r="F144" s="24"/>
      <c r="G144" s="24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7"/>
      <c r="AP144" s="31"/>
      <c r="AS144" s="31"/>
      <c r="AY144" s="25"/>
      <c r="BF144" s="25"/>
      <c r="BG144" s="25"/>
      <c r="BH144" s="25"/>
      <c r="BI144" s="25"/>
      <c r="BJ144" s="24"/>
      <c r="BK144" s="24"/>
      <c r="BL144" s="25"/>
      <c r="BM144" s="25"/>
      <c r="BN144" s="25"/>
    </row>
    <row r="145" spans="1:66" ht="13.5" customHeight="1" x14ac:dyDescent="0.2">
      <c r="A145" s="22"/>
      <c r="B145" s="23"/>
      <c r="C145" s="23"/>
      <c r="D145" s="24"/>
      <c r="E145" s="24"/>
      <c r="F145" s="24"/>
      <c r="G145" s="24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7"/>
      <c r="AP145" s="31"/>
      <c r="AS145" s="31"/>
      <c r="AY145" s="25"/>
      <c r="BF145" s="25"/>
      <c r="BG145" s="25"/>
      <c r="BH145" s="25"/>
      <c r="BI145" s="25"/>
      <c r="BJ145" s="24"/>
      <c r="BK145" s="24"/>
      <c r="BL145" s="25"/>
      <c r="BM145" s="25"/>
      <c r="BN145" s="25"/>
    </row>
    <row r="146" spans="1:66" ht="13.5" customHeight="1" x14ac:dyDescent="0.2">
      <c r="A146" s="22"/>
      <c r="B146" s="23"/>
      <c r="C146" s="23"/>
      <c r="D146" s="24"/>
      <c r="E146" s="24"/>
      <c r="F146" s="24"/>
      <c r="G146" s="24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7"/>
      <c r="AP146" s="31"/>
      <c r="AS146" s="31"/>
      <c r="AY146" s="25"/>
      <c r="BF146" s="25"/>
      <c r="BG146" s="25"/>
      <c r="BH146" s="25"/>
      <c r="BI146" s="25"/>
      <c r="BJ146" s="24"/>
      <c r="BK146" s="24"/>
      <c r="BL146" s="25"/>
      <c r="BM146" s="25"/>
      <c r="BN146" s="25"/>
    </row>
    <row r="147" spans="1:66" ht="13.5" customHeight="1" x14ac:dyDescent="0.2">
      <c r="A147" s="22"/>
      <c r="B147" s="23"/>
      <c r="C147" s="23"/>
      <c r="D147" s="24"/>
      <c r="E147" s="24"/>
      <c r="F147" s="24"/>
      <c r="G147" s="24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7"/>
      <c r="AP147" s="31"/>
      <c r="AS147" s="31"/>
      <c r="AY147" s="25"/>
      <c r="BF147" s="25"/>
      <c r="BG147" s="25"/>
      <c r="BH147" s="25"/>
      <c r="BI147" s="25"/>
      <c r="BJ147" s="24"/>
      <c r="BK147" s="24"/>
      <c r="BL147" s="25"/>
      <c r="BM147" s="25"/>
      <c r="BN147" s="25"/>
    </row>
    <row r="148" spans="1:66" ht="13.5" customHeight="1" x14ac:dyDescent="0.2">
      <c r="A148" s="22"/>
      <c r="B148" s="23"/>
      <c r="C148" s="23"/>
      <c r="D148" s="24"/>
      <c r="E148" s="24"/>
      <c r="F148" s="24"/>
      <c r="G148" s="24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7"/>
      <c r="AP148" s="31"/>
      <c r="AS148" s="31"/>
      <c r="AY148" s="25"/>
      <c r="BF148" s="25"/>
      <c r="BG148" s="25"/>
      <c r="BH148" s="25"/>
      <c r="BI148" s="25"/>
      <c r="BJ148" s="24"/>
      <c r="BK148" s="24"/>
      <c r="BL148" s="25"/>
      <c r="BM148" s="25"/>
      <c r="BN148" s="25"/>
    </row>
    <row r="149" spans="1:66" ht="13.5" customHeight="1" x14ac:dyDescent="0.2">
      <c r="A149" s="22"/>
      <c r="B149" s="23"/>
      <c r="C149" s="23"/>
      <c r="D149" s="24"/>
      <c r="E149" s="24"/>
      <c r="F149" s="24"/>
      <c r="G149" s="24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7"/>
      <c r="AP149" s="31"/>
      <c r="AS149" s="31"/>
      <c r="AY149" s="25"/>
      <c r="BF149" s="25"/>
      <c r="BG149" s="25"/>
      <c r="BH149" s="25"/>
      <c r="BI149" s="25"/>
      <c r="BJ149" s="24"/>
      <c r="BK149" s="24"/>
      <c r="BL149" s="25"/>
      <c r="BM149" s="25"/>
      <c r="BN149" s="25"/>
    </row>
    <row r="150" spans="1:66" ht="13.5" customHeight="1" x14ac:dyDescent="0.2">
      <c r="A150" s="22"/>
      <c r="B150" s="23"/>
      <c r="C150" s="23"/>
      <c r="D150" s="24"/>
      <c r="E150" s="24"/>
      <c r="F150" s="24"/>
      <c r="G150" s="24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7"/>
      <c r="AP150" s="31"/>
      <c r="AS150" s="31"/>
      <c r="AY150" s="25"/>
      <c r="BF150" s="25"/>
      <c r="BG150" s="25"/>
      <c r="BH150" s="25"/>
      <c r="BI150" s="25"/>
      <c r="BJ150" s="24"/>
      <c r="BK150" s="24"/>
      <c r="BL150" s="25"/>
      <c r="BM150" s="25"/>
      <c r="BN150" s="25"/>
    </row>
    <row r="151" spans="1:66" ht="13.5" customHeight="1" x14ac:dyDescent="0.2">
      <c r="A151" s="22"/>
      <c r="B151" s="23"/>
      <c r="C151" s="23"/>
      <c r="D151" s="24"/>
      <c r="E151" s="24"/>
      <c r="F151" s="24"/>
      <c r="G151" s="24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7"/>
      <c r="AP151" s="31"/>
      <c r="AS151" s="31"/>
      <c r="AY151" s="25"/>
      <c r="BF151" s="25"/>
      <c r="BG151" s="25"/>
      <c r="BH151" s="25"/>
      <c r="BI151" s="25"/>
      <c r="BJ151" s="24"/>
      <c r="BK151" s="24"/>
      <c r="BL151" s="25"/>
      <c r="BM151" s="25"/>
      <c r="BN151" s="25"/>
    </row>
    <row r="152" spans="1:66" ht="13.5" customHeight="1" x14ac:dyDescent="0.2">
      <c r="A152" s="22"/>
      <c r="B152" s="23"/>
      <c r="C152" s="23"/>
      <c r="D152" s="24"/>
      <c r="E152" s="24"/>
      <c r="F152" s="24"/>
      <c r="G152" s="24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7"/>
      <c r="AP152" s="31"/>
      <c r="AS152" s="31"/>
      <c r="AY152" s="25"/>
      <c r="BF152" s="25"/>
      <c r="BG152" s="25"/>
      <c r="BH152" s="25"/>
      <c r="BI152" s="25"/>
      <c r="BJ152" s="24"/>
      <c r="BK152" s="24"/>
      <c r="BL152" s="25"/>
      <c r="BM152" s="25"/>
      <c r="BN152" s="25"/>
    </row>
    <row r="153" spans="1:66" ht="13.5" customHeight="1" x14ac:dyDescent="0.2">
      <c r="A153" s="22"/>
      <c r="B153" s="23"/>
      <c r="C153" s="23"/>
      <c r="D153" s="24"/>
      <c r="E153" s="24"/>
      <c r="F153" s="24"/>
      <c r="G153" s="24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7"/>
      <c r="AP153" s="31"/>
      <c r="AS153" s="31"/>
      <c r="AY153" s="25"/>
      <c r="BF153" s="25"/>
      <c r="BG153" s="25"/>
      <c r="BH153" s="25"/>
      <c r="BI153" s="25"/>
      <c r="BJ153" s="24"/>
      <c r="BK153" s="24"/>
      <c r="BL153" s="25"/>
      <c r="BM153" s="25"/>
      <c r="BN153" s="25"/>
    </row>
    <row r="154" spans="1:66" ht="13.5" customHeight="1" x14ac:dyDescent="0.2">
      <c r="A154" s="22"/>
      <c r="B154" s="23"/>
      <c r="C154" s="23"/>
      <c r="D154" s="24"/>
      <c r="E154" s="24"/>
      <c r="F154" s="24"/>
      <c r="G154" s="24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7"/>
      <c r="AP154" s="31"/>
      <c r="AS154" s="31"/>
      <c r="AY154" s="25"/>
      <c r="BF154" s="25"/>
      <c r="BG154" s="25"/>
      <c r="BH154" s="25"/>
      <c r="BI154" s="25"/>
      <c r="BJ154" s="24"/>
      <c r="BK154" s="24"/>
      <c r="BL154" s="25"/>
      <c r="BM154" s="25"/>
      <c r="BN154" s="25"/>
    </row>
    <row r="155" spans="1:66" ht="13.5" customHeight="1" x14ac:dyDescent="0.2">
      <c r="A155" s="22"/>
      <c r="B155" s="23"/>
      <c r="C155" s="23"/>
      <c r="D155" s="24"/>
      <c r="E155" s="24"/>
      <c r="F155" s="24"/>
      <c r="G155" s="24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7"/>
      <c r="AP155" s="31"/>
      <c r="AS155" s="31"/>
      <c r="AY155" s="25"/>
      <c r="BF155" s="25"/>
      <c r="BG155" s="25"/>
      <c r="BH155" s="25"/>
      <c r="BI155" s="25"/>
      <c r="BJ155" s="24"/>
      <c r="BK155" s="24"/>
      <c r="BL155" s="25"/>
      <c r="BM155" s="25"/>
      <c r="BN155" s="25"/>
    </row>
    <row r="156" spans="1:66" ht="13.5" customHeight="1" x14ac:dyDescent="0.2">
      <c r="A156" s="22"/>
      <c r="B156" s="23"/>
      <c r="C156" s="23"/>
      <c r="D156" s="24"/>
      <c r="E156" s="24"/>
      <c r="F156" s="24"/>
      <c r="G156" s="24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7"/>
      <c r="AP156" s="31"/>
      <c r="AS156" s="31"/>
      <c r="AY156" s="25"/>
      <c r="BF156" s="25"/>
      <c r="BG156" s="25"/>
      <c r="BH156" s="25"/>
      <c r="BI156" s="25"/>
      <c r="BJ156" s="24"/>
      <c r="BK156" s="24"/>
      <c r="BL156" s="25"/>
      <c r="BM156" s="25"/>
      <c r="BN156" s="25"/>
    </row>
    <row r="157" spans="1:66" ht="13.5" customHeight="1" x14ac:dyDescent="0.2">
      <c r="A157" s="22"/>
      <c r="B157" s="23"/>
      <c r="C157" s="23"/>
      <c r="D157" s="24"/>
      <c r="E157" s="24"/>
      <c r="F157" s="24"/>
      <c r="G157" s="24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7"/>
      <c r="AP157" s="31"/>
      <c r="AS157" s="31"/>
      <c r="AY157" s="25"/>
      <c r="BF157" s="25"/>
      <c r="BG157" s="25"/>
      <c r="BH157" s="25"/>
      <c r="BI157" s="25"/>
      <c r="BJ157" s="24"/>
      <c r="BK157" s="24"/>
      <c r="BL157" s="25"/>
      <c r="BM157" s="25"/>
      <c r="BN157" s="25"/>
    </row>
    <row r="158" spans="1:66" ht="13.5" customHeight="1" x14ac:dyDescent="0.2">
      <c r="A158" s="22"/>
      <c r="B158" s="23"/>
      <c r="C158" s="23"/>
      <c r="D158" s="24"/>
      <c r="E158" s="24"/>
      <c r="F158" s="24"/>
      <c r="G158" s="24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7"/>
      <c r="AP158" s="31"/>
      <c r="AS158" s="31"/>
      <c r="AY158" s="25"/>
      <c r="BF158" s="25"/>
      <c r="BG158" s="25"/>
      <c r="BH158" s="25"/>
      <c r="BI158" s="25"/>
      <c r="BJ158" s="24"/>
      <c r="BK158" s="24"/>
      <c r="BL158" s="25"/>
      <c r="BM158" s="25"/>
      <c r="BN158" s="25"/>
    </row>
    <row r="159" spans="1:66" ht="13.5" customHeight="1" x14ac:dyDescent="0.2">
      <c r="A159" s="22"/>
      <c r="B159" s="23"/>
      <c r="C159" s="23"/>
      <c r="D159" s="24"/>
      <c r="E159" s="24"/>
      <c r="F159" s="24"/>
      <c r="G159" s="24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7"/>
      <c r="AP159" s="31"/>
      <c r="AS159" s="31"/>
      <c r="AY159" s="25"/>
      <c r="BF159" s="25"/>
      <c r="BG159" s="25"/>
      <c r="BH159" s="25"/>
      <c r="BI159" s="25"/>
      <c r="BJ159" s="24"/>
      <c r="BK159" s="24"/>
      <c r="BL159" s="25"/>
      <c r="BM159" s="25"/>
      <c r="BN159" s="25"/>
    </row>
    <row r="160" spans="1:66" ht="13.5" customHeight="1" x14ac:dyDescent="0.2">
      <c r="A160" s="22"/>
      <c r="B160" s="23"/>
      <c r="C160" s="23"/>
      <c r="D160" s="24"/>
      <c r="E160" s="24"/>
      <c r="F160" s="24"/>
      <c r="G160" s="24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7"/>
      <c r="AP160" s="31"/>
      <c r="AS160" s="31"/>
      <c r="AY160" s="25"/>
      <c r="BF160" s="25"/>
      <c r="BG160" s="25"/>
      <c r="BH160" s="25"/>
      <c r="BI160" s="25"/>
      <c r="BJ160" s="24"/>
      <c r="BK160" s="24"/>
      <c r="BL160" s="25"/>
      <c r="BM160" s="25"/>
      <c r="BN160" s="25"/>
    </row>
    <row r="161" spans="1:66" ht="13.5" customHeight="1" x14ac:dyDescent="0.2">
      <c r="A161" s="22"/>
      <c r="B161" s="23"/>
      <c r="C161" s="23"/>
      <c r="D161" s="24"/>
      <c r="E161" s="24"/>
      <c r="F161" s="24"/>
      <c r="G161" s="2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7"/>
      <c r="AP161" s="31"/>
      <c r="AS161" s="31"/>
      <c r="AY161" s="25"/>
      <c r="BF161" s="25"/>
      <c r="BG161" s="25"/>
      <c r="BH161" s="25"/>
      <c r="BI161" s="25"/>
      <c r="BJ161" s="24"/>
      <c r="BK161" s="24"/>
      <c r="BL161" s="25"/>
      <c r="BM161" s="25"/>
      <c r="BN161" s="25"/>
    </row>
    <row r="162" spans="1:66" ht="13.5" customHeight="1" x14ac:dyDescent="0.2">
      <c r="A162" s="22"/>
      <c r="B162" s="23"/>
      <c r="C162" s="23"/>
      <c r="D162" s="24"/>
      <c r="E162" s="24"/>
      <c r="F162" s="24"/>
      <c r="G162" s="24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7"/>
      <c r="AP162" s="31"/>
      <c r="AS162" s="31"/>
      <c r="AY162" s="25"/>
      <c r="BF162" s="25"/>
      <c r="BG162" s="25"/>
      <c r="BH162" s="25"/>
      <c r="BI162" s="25"/>
      <c r="BJ162" s="24"/>
      <c r="BK162" s="24"/>
      <c r="BL162" s="25"/>
      <c r="BM162" s="25"/>
      <c r="BN162" s="25"/>
    </row>
    <row r="163" spans="1:66" ht="13.5" customHeight="1" x14ac:dyDescent="0.2">
      <c r="A163" s="22"/>
      <c r="B163" s="23"/>
      <c r="C163" s="23"/>
      <c r="D163" s="24"/>
      <c r="E163" s="24"/>
      <c r="F163" s="24"/>
      <c r="G163" s="24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7"/>
      <c r="AP163" s="31"/>
      <c r="AS163" s="31"/>
      <c r="AY163" s="25"/>
      <c r="BF163" s="25"/>
      <c r="BG163" s="25"/>
      <c r="BH163" s="25"/>
      <c r="BI163" s="25"/>
      <c r="BJ163" s="24"/>
      <c r="BK163" s="24"/>
      <c r="BL163" s="25"/>
      <c r="BM163" s="25"/>
      <c r="BN163" s="25"/>
    </row>
    <row r="164" spans="1:66" ht="13.5" customHeight="1" x14ac:dyDescent="0.2">
      <c r="A164" s="22"/>
      <c r="B164" s="23"/>
      <c r="C164" s="23"/>
      <c r="D164" s="24"/>
      <c r="E164" s="24"/>
      <c r="F164" s="24"/>
      <c r="G164" s="24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7"/>
      <c r="AP164" s="31"/>
      <c r="AS164" s="31"/>
      <c r="AY164" s="25"/>
      <c r="BF164" s="25"/>
      <c r="BG164" s="25"/>
      <c r="BH164" s="25"/>
      <c r="BI164" s="25"/>
      <c r="BJ164" s="24"/>
      <c r="BK164" s="24"/>
      <c r="BL164" s="25"/>
      <c r="BM164" s="25"/>
      <c r="BN164" s="25"/>
    </row>
    <row r="165" spans="1:66" ht="13.5" customHeight="1" x14ac:dyDescent="0.2">
      <c r="A165" s="22"/>
      <c r="B165" s="23"/>
      <c r="C165" s="23"/>
      <c r="D165" s="24"/>
      <c r="E165" s="24"/>
      <c r="F165" s="24"/>
      <c r="G165" s="24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7"/>
      <c r="AP165" s="31"/>
      <c r="AS165" s="31"/>
      <c r="AY165" s="25"/>
      <c r="BF165" s="25"/>
      <c r="BG165" s="25"/>
      <c r="BH165" s="25"/>
      <c r="BI165" s="25"/>
      <c r="BJ165" s="24"/>
      <c r="BK165" s="24"/>
      <c r="BL165" s="25"/>
      <c r="BM165" s="25"/>
      <c r="BN165" s="25"/>
    </row>
    <row r="166" spans="1:66" ht="13.5" customHeight="1" x14ac:dyDescent="0.2">
      <c r="A166" s="22"/>
      <c r="B166" s="23"/>
      <c r="C166" s="23"/>
      <c r="D166" s="24"/>
      <c r="E166" s="24"/>
      <c r="F166" s="24"/>
      <c r="G166" s="24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7"/>
      <c r="AP166" s="31"/>
      <c r="AS166" s="31"/>
      <c r="AY166" s="25"/>
      <c r="BF166" s="25"/>
      <c r="BG166" s="25"/>
      <c r="BH166" s="25"/>
      <c r="BI166" s="25"/>
      <c r="BJ166" s="24"/>
      <c r="BK166" s="24"/>
      <c r="BL166" s="25"/>
      <c r="BM166" s="25"/>
      <c r="BN166" s="25"/>
    </row>
    <row r="167" spans="1:66" ht="13.5" customHeight="1" x14ac:dyDescent="0.2">
      <c r="A167" s="22"/>
      <c r="B167" s="23"/>
      <c r="C167" s="23"/>
      <c r="D167" s="24"/>
      <c r="E167" s="24"/>
      <c r="F167" s="24"/>
      <c r="G167" s="24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7"/>
      <c r="AP167" s="31"/>
      <c r="AS167" s="31"/>
      <c r="AY167" s="25"/>
      <c r="BF167" s="25"/>
      <c r="BG167" s="25"/>
      <c r="BH167" s="25"/>
      <c r="BI167" s="25"/>
      <c r="BJ167" s="24"/>
      <c r="BK167" s="24"/>
      <c r="BL167" s="25"/>
      <c r="BM167" s="25"/>
      <c r="BN167" s="25"/>
    </row>
    <row r="168" spans="1:66" ht="13.5" customHeight="1" x14ac:dyDescent="0.2">
      <c r="A168" s="22"/>
      <c r="B168" s="23"/>
      <c r="C168" s="23"/>
      <c r="D168" s="24"/>
      <c r="E168" s="24"/>
      <c r="F168" s="24"/>
      <c r="G168" s="24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7"/>
      <c r="AP168" s="31"/>
      <c r="AS168" s="31"/>
      <c r="AY168" s="25"/>
      <c r="BF168" s="25"/>
      <c r="BG168" s="25"/>
      <c r="BH168" s="25"/>
      <c r="BI168" s="25"/>
      <c r="BJ168" s="24"/>
      <c r="BK168" s="24"/>
      <c r="BL168" s="25"/>
      <c r="BM168" s="25"/>
      <c r="BN168" s="25"/>
    </row>
    <row r="169" spans="1:66" ht="13.5" customHeight="1" x14ac:dyDescent="0.2">
      <c r="A169" s="22"/>
      <c r="B169" s="23"/>
      <c r="C169" s="23"/>
      <c r="D169" s="24"/>
      <c r="E169" s="24"/>
      <c r="F169" s="24"/>
      <c r="G169" s="24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7"/>
      <c r="AP169" s="31"/>
      <c r="AS169" s="31"/>
      <c r="AY169" s="25"/>
      <c r="BF169" s="25"/>
      <c r="BG169" s="25"/>
      <c r="BH169" s="25"/>
      <c r="BI169" s="25"/>
      <c r="BJ169" s="24"/>
      <c r="BK169" s="24"/>
      <c r="BL169" s="25"/>
      <c r="BM169" s="25"/>
      <c r="BN169" s="25"/>
    </row>
    <row r="170" spans="1:66" ht="13.5" customHeight="1" x14ac:dyDescent="0.2">
      <c r="A170" s="22"/>
      <c r="B170" s="23"/>
      <c r="C170" s="23"/>
      <c r="D170" s="24"/>
      <c r="E170" s="24"/>
      <c r="F170" s="24"/>
      <c r="G170" s="24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7"/>
      <c r="AP170" s="31"/>
      <c r="AS170" s="31"/>
      <c r="AY170" s="25"/>
      <c r="BF170" s="25"/>
      <c r="BG170" s="25"/>
      <c r="BH170" s="25"/>
      <c r="BI170" s="25"/>
      <c r="BJ170" s="24"/>
      <c r="BK170" s="24"/>
      <c r="BL170" s="25"/>
      <c r="BM170" s="25"/>
      <c r="BN170" s="25"/>
    </row>
    <row r="171" spans="1:66" ht="13.5" customHeight="1" x14ac:dyDescent="0.2">
      <c r="A171" s="22"/>
      <c r="B171" s="23"/>
      <c r="C171" s="23"/>
      <c r="D171" s="24"/>
      <c r="E171" s="24"/>
      <c r="F171" s="24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7"/>
      <c r="AP171" s="31"/>
      <c r="AS171" s="31"/>
      <c r="AY171" s="25"/>
      <c r="BF171" s="25"/>
      <c r="BG171" s="25"/>
      <c r="BH171" s="25"/>
      <c r="BI171" s="25"/>
      <c r="BJ171" s="24"/>
      <c r="BK171" s="24"/>
      <c r="BL171" s="25"/>
      <c r="BM171" s="25"/>
      <c r="BN171" s="25"/>
    </row>
    <row r="172" spans="1:66" ht="13.5" customHeight="1" x14ac:dyDescent="0.2">
      <c r="A172" s="22"/>
      <c r="B172" s="23"/>
      <c r="C172" s="23"/>
      <c r="D172" s="24"/>
      <c r="E172" s="24"/>
      <c r="F172" s="24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7"/>
      <c r="AP172" s="31"/>
      <c r="AS172" s="31"/>
      <c r="AY172" s="25"/>
      <c r="BF172" s="25"/>
      <c r="BG172" s="25"/>
      <c r="BH172" s="25"/>
      <c r="BI172" s="25"/>
      <c r="BJ172" s="24"/>
      <c r="BK172" s="24"/>
      <c r="BL172" s="25"/>
      <c r="BM172" s="25"/>
      <c r="BN172" s="25"/>
    </row>
    <row r="173" spans="1:66" ht="13.5" customHeight="1" x14ac:dyDescent="0.2">
      <c r="A173" s="22"/>
      <c r="B173" s="23"/>
      <c r="C173" s="23"/>
      <c r="D173" s="24"/>
      <c r="E173" s="24"/>
      <c r="F173" s="24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7"/>
      <c r="AP173" s="31"/>
      <c r="AS173" s="31"/>
      <c r="AY173" s="25"/>
      <c r="BF173" s="25"/>
      <c r="BG173" s="25"/>
      <c r="BH173" s="25"/>
      <c r="BI173" s="25"/>
      <c r="BJ173" s="24"/>
      <c r="BK173" s="24"/>
      <c r="BL173" s="25"/>
      <c r="BM173" s="25"/>
      <c r="BN173" s="25"/>
    </row>
    <row r="174" spans="1:66" ht="13.5" customHeight="1" x14ac:dyDescent="0.2">
      <c r="A174" s="22"/>
      <c r="B174" s="23"/>
      <c r="C174" s="23"/>
      <c r="D174" s="24"/>
      <c r="E174" s="24"/>
      <c r="F174" s="24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7"/>
      <c r="AP174" s="31"/>
      <c r="AS174" s="31"/>
      <c r="AY174" s="25"/>
      <c r="BF174" s="25"/>
      <c r="BG174" s="25"/>
      <c r="BH174" s="25"/>
      <c r="BI174" s="25"/>
      <c r="BJ174" s="24"/>
      <c r="BK174" s="24"/>
      <c r="BL174" s="25"/>
      <c r="BM174" s="25"/>
      <c r="BN174" s="25"/>
    </row>
    <row r="175" spans="1:66" ht="13.5" customHeight="1" x14ac:dyDescent="0.2">
      <c r="A175" s="22"/>
      <c r="B175" s="23"/>
      <c r="C175" s="23"/>
      <c r="D175" s="24"/>
      <c r="E175" s="24"/>
      <c r="F175" s="24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7"/>
      <c r="AP175" s="31"/>
      <c r="AS175" s="31"/>
      <c r="AY175" s="25"/>
      <c r="BF175" s="25"/>
      <c r="BG175" s="25"/>
      <c r="BH175" s="25"/>
      <c r="BI175" s="25"/>
      <c r="BJ175" s="24"/>
      <c r="BK175" s="24"/>
      <c r="BL175" s="25"/>
      <c r="BM175" s="25"/>
      <c r="BN175" s="25"/>
    </row>
    <row r="176" spans="1:66" ht="13.5" customHeight="1" x14ac:dyDescent="0.2">
      <c r="A176" s="22"/>
      <c r="B176" s="23"/>
      <c r="C176" s="23"/>
      <c r="D176" s="24"/>
      <c r="E176" s="24"/>
      <c r="F176" s="24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7"/>
      <c r="AP176" s="31"/>
      <c r="AS176" s="31"/>
      <c r="AY176" s="25"/>
      <c r="BF176" s="25"/>
      <c r="BG176" s="25"/>
      <c r="BH176" s="25"/>
      <c r="BI176" s="25"/>
      <c r="BJ176" s="24"/>
      <c r="BK176" s="24"/>
      <c r="BL176" s="25"/>
      <c r="BM176" s="25"/>
      <c r="BN176" s="25"/>
    </row>
    <row r="177" spans="1:66" ht="13.5" customHeight="1" x14ac:dyDescent="0.2">
      <c r="A177" s="22"/>
      <c r="B177" s="23"/>
      <c r="C177" s="23"/>
      <c r="D177" s="24"/>
      <c r="E177" s="24"/>
      <c r="F177" s="24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7"/>
      <c r="AP177" s="31"/>
      <c r="AS177" s="31"/>
      <c r="AY177" s="25"/>
      <c r="BF177" s="25"/>
      <c r="BG177" s="25"/>
      <c r="BH177" s="25"/>
      <c r="BI177" s="25"/>
      <c r="BJ177" s="24"/>
      <c r="BK177" s="24"/>
      <c r="BL177" s="25"/>
      <c r="BM177" s="25"/>
      <c r="BN177" s="25"/>
    </row>
    <row r="178" spans="1:66" ht="13.5" customHeight="1" x14ac:dyDescent="0.2">
      <c r="A178" s="22"/>
      <c r="B178" s="23"/>
      <c r="C178" s="23"/>
      <c r="D178" s="24"/>
      <c r="E178" s="24"/>
      <c r="F178" s="24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7"/>
      <c r="AP178" s="31"/>
      <c r="AS178" s="31"/>
      <c r="AY178" s="25"/>
      <c r="BF178" s="25"/>
      <c r="BG178" s="25"/>
      <c r="BH178" s="25"/>
      <c r="BI178" s="25"/>
      <c r="BJ178" s="24"/>
      <c r="BK178" s="24"/>
      <c r="BL178" s="25"/>
      <c r="BM178" s="25"/>
      <c r="BN178" s="25"/>
    </row>
    <row r="179" spans="1:66" ht="13.5" customHeight="1" x14ac:dyDescent="0.2">
      <c r="A179" s="22"/>
      <c r="B179" s="23"/>
      <c r="C179" s="23"/>
      <c r="D179" s="24"/>
      <c r="E179" s="24"/>
      <c r="F179" s="24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7"/>
      <c r="AP179" s="31"/>
      <c r="AS179" s="31"/>
      <c r="AY179" s="25"/>
      <c r="BF179" s="25"/>
      <c r="BG179" s="25"/>
      <c r="BH179" s="25"/>
      <c r="BI179" s="25"/>
      <c r="BJ179" s="24"/>
      <c r="BK179" s="24"/>
      <c r="BL179" s="25"/>
      <c r="BM179" s="25"/>
      <c r="BN179" s="25"/>
    </row>
    <row r="180" spans="1:66" ht="13.5" customHeight="1" x14ac:dyDescent="0.2">
      <c r="A180" s="22"/>
      <c r="B180" s="23"/>
      <c r="C180" s="23"/>
      <c r="D180" s="24"/>
      <c r="E180" s="24"/>
      <c r="F180" s="24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7"/>
      <c r="AP180" s="31"/>
      <c r="AS180" s="31"/>
      <c r="AY180" s="25"/>
      <c r="BF180" s="25"/>
      <c r="BG180" s="25"/>
      <c r="BH180" s="25"/>
      <c r="BI180" s="25"/>
      <c r="BJ180" s="24"/>
      <c r="BK180" s="24"/>
      <c r="BL180" s="25"/>
      <c r="BM180" s="25"/>
      <c r="BN180" s="25"/>
    </row>
    <row r="181" spans="1:66" ht="13.5" customHeight="1" x14ac:dyDescent="0.2">
      <c r="A181" s="22"/>
      <c r="B181" s="23"/>
      <c r="C181" s="23"/>
      <c r="D181" s="24"/>
      <c r="E181" s="24"/>
      <c r="F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7"/>
      <c r="AP181" s="31"/>
      <c r="AS181" s="31"/>
      <c r="AY181" s="25"/>
      <c r="BF181" s="25"/>
      <c r="BG181" s="25"/>
      <c r="BH181" s="25"/>
      <c r="BI181" s="25"/>
      <c r="BJ181" s="24"/>
      <c r="BK181" s="24"/>
      <c r="BL181" s="25"/>
      <c r="BM181" s="25"/>
      <c r="BN181" s="25"/>
    </row>
    <row r="182" spans="1:66" ht="13.5" customHeight="1" x14ac:dyDescent="0.2">
      <c r="A182" s="22"/>
      <c r="B182" s="23"/>
      <c r="C182" s="23"/>
      <c r="D182" s="24"/>
      <c r="E182" s="24"/>
      <c r="F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7"/>
      <c r="AP182" s="31"/>
      <c r="AS182" s="31"/>
      <c r="AY182" s="25"/>
      <c r="BF182" s="25"/>
      <c r="BG182" s="25"/>
      <c r="BH182" s="25"/>
      <c r="BI182" s="25"/>
      <c r="BJ182" s="24"/>
      <c r="BK182" s="24"/>
      <c r="BL182" s="25"/>
      <c r="BM182" s="25"/>
      <c r="BN182" s="25"/>
    </row>
    <row r="183" spans="1:66" ht="13.5" customHeight="1" x14ac:dyDescent="0.2">
      <c r="A183" s="22"/>
      <c r="B183" s="23"/>
      <c r="C183" s="23"/>
      <c r="D183" s="24"/>
      <c r="E183" s="24"/>
      <c r="F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7"/>
      <c r="AP183" s="31"/>
      <c r="AS183" s="31"/>
      <c r="AY183" s="25"/>
      <c r="BF183" s="25"/>
      <c r="BG183" s="25"/>
      <c r="BH183" s="25"/>
      <c r="BI183" s="25"/>
      <c r="BJ183" s="24"/>
      <c r="BK183" s="24"/>
      <c r="BL183" s="25"/>
      <c r="BM183" s="25"/>
      <c r="BN183" s="25"/>
    </row>
    <row r="184" spans="1:66" ht="13.5" customHeight="1" x14ac:dyDescent="0.2">
      <c r="A184" s="22"/>
      <c r="B184" s="23"/>
      <c r="C184" s="23"/>
      <c r="D184" s="24"/>
      <c r="E184" s="24"/>
      <c r="F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7"/>
      <c r="AP184" s="31"/>
      <c r="AS184" s="31"/>
      <c r="AY184" s="25"/>
      <c r="BF184" s="25"/>
      <c r="BG184" s="25"/>
      <c r="BH184" s="25"/>
      <c r="BI184" s="25"/>
      <c r="BJ184" s="24"/>
      <c r="BK184" s="24"/>
      <c r="BL184" s="25"/>
      <c r="BM184" s="25"/>
      <c r="BN184" s="25"/>
    </row>
    <row r="185" spans="1:66" ht="13.5" customHeight="1" x14ac:dyDescent="0.2">
      <c r="A185" s="22"/>
      <c r="B185" s="23"/>
      <c r="C185" s="23"/>
      <c r="D185" s="24"/>
      <c r="E185" s="24"/>
      <c r="F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7"/>
      <c r="AP185" s="31"/>
      <c r="AS185" s="31"/>
      <c r="AY185" s="25"/>
      <c r="BF185" s="25"/>
      <c r="BG185" s="25"/>
      <c r="BH185" s="25"/>
      <c r="BI185" s="25"/>
      <c r="BJ185" s="24"/>
      <c r="BK185" s="24"/>
      <c r="BL185" s="25"/>
      <c r="BM185" s="25"/>
      <c r="BN185" s="25"/>
    </row>
    <row r="186" spans="1:66" ht="13.5" customHeight="1" x14ac:dyDescent="0.2">
      <c r="A186" s="22"/>
      <c r="B186" s="23"/>
      <c r="C186" s="23"/>
      <c r="D186" s="24"/>
      <c r="E186" s="24"/>
      <c r="F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7"/>
      <c r="AP186" s="31"/>
      <c r="AS186" s="31"/>
      <c r="AY186" s="25"/>
      <c r="BF186" s="25"/>
      <c r="BG186" s="25"/>
      <c r="BH186" s="25"/>
      <c r="BI186" s="25"/>
      <c r="BJ186" s="24"/>
      <c r="BK186" s="24"/>
      <c r="BL186" s="25"/>
      <c r="BM186" s="25"/>
      <c r="BN186" s="25"/>
    </row>
    <row r="187" spans="1:66" ht="13.5" customHeight="1" x14ac:dyDescent="0.2">
      <c r="A187" s="22"/>
      <c r="B187" s="23"/>
      <c r="C187" s="23"/>
      <c r="D187" s="24"/>
      <c r="E187" s="24"/>
      <c r="F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7"/>
      <c r="AP187" s="31"/>
      <c r="AS187" s="31"/>
      <c r="AY187" s="25"/>
      <c r="BF187" s="25"/>
      <c r="BG187" s="25"/>
      <c r="BH187" s="25"/>
      <c r="BI187" s="25"/>
      <c r="BJ187" s="24"/>
      <c r="BK187" s="24"/>
      <c r="BL187" s="25"/>
      <c r="BM187" s="25"/>
      <c r="BN187" s="25"/>
    </row>
    <row r="188" spans="1:66" ht="13.5" customHeight="1" x14ac:dyDescent="0.2">
      <c r="A188" s="22"/>
      <c r="B188" s="23"/>
      <c r="C188" s="23"/>
      <c r="D188" s="24"/>
      <c r="E188" s="24"/>
      <c r="F188" s="24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7"/>
      <c r="AP188" s="31"/>
      <c r="AS188" s="31"/>
      <c r="AY188" s="25"/>
      <c r="BF188" s="25"/>
      <c r="BG188" s="25"/>
      <c r="BH188" s="25"/>
      <c r="BI188" s="25"/>
      <c r="BJ188" s="24"/>
      <c r="BK188" s="24"/>
      <c r="BL188" s="25"/>
      <c r="BM188" s="25"/>
      <c r="BN188" s="25"/>
    </row>
    <row r="189" spans="1:66" ht="13.5" customHeight="1" x14ac:dyDescent="0.2">
      <c r="A189" s="22"/>
      <c r="B189" s="23"/>
      <c r="C189" s="23"/>
      <c r="D189" s="24"/>
      <c r="E189" s="24"/>
      <c r="F189" s="24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7"/>
      <c r="AP189" s="31"/>
      <c r="AS189" s="31"/>
      <c r="AY189" s="25"/>
      <c r="BF189" s="25"/>
      <c r="BG189" s="25"/>
      <c r="BH189" s="25"/>
      <c r="BI189" s="25"/>
      <c r="BJ189" s="24"/>
      <c r="BK189" s="24"/>
      <c r="BL189" s="25"/>
      <c r="BM189" s="25"/>
      <c r="BN189" s="25"/>
    </row>
    <row r="190" spans="1:66" ht="13.5" customHeight="1" x14ac:dyDescent="0.2">
      <c r="A190" s="22"/>
      <c r="B190" s="23"/>
      <c r="C190" s="23"/>
      <c r="D190" s="24"/>
      <c r="E190" s="24"/>
      <c r="F190" s="24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7"/>
      <c r="AP190" s="31"/>
      <c r="AS190" s="31"/>
      <c r="AY190" s="25"/>
      <c r="BF190" s="25"/>
      <c r="BG190" s="25"/>
      <c r="BH190" s="25"/>
      <c r="BI190" s="25"/>
      <c r="BJ190" s="24"/>
      <c r="BK190" s="24"/>
      <c r="BL190" s="25"/>
      <c r="BM190" s="25"/>
      <c r="BN190" s="25"/>
    </row>
    <row r="191" spans="1:66" ht="13.5" customHeight="1" x14ac:dyDescent="0.2">
      <c r="A191" s="22"/>
      <c r="B191" s="23"/>
      <c r="C191" s="23"/>
      <c r="D191" s="24"/>
      <c r="E191" s="24"/>
      <c r="F191" s="24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7"/>
      <c r="AP191" s="31"/>
      <c r="AS191" s="31"/>
      <c r="AY191" s="25"/>
      <c r="BF191" s="25"/>
      <c r="BG191" s="25"/>
      <c r="BH191" s="25"/>
      <c r="BI191" s="25"/>
      <c r="BJ191" s="24"/>
      <c r="BK191" s="24"/>
      <c r="BL191" s="25"/>
      <c r="BM191" s="25"/>
      <c r="BN191" s="25"/>
    </row>
    <row r="192" spans="1:66" ht="13.5" customHeight="1" x14ac:dyDescent="0.2">
      <c r="A192" s="22"/>
      <c r="B192" s="23"/>
      <c r="C192" s="23"/>
      <c r="D192" s="24"/>
      <c r="E192" s="24"/>
      <c r="F192" s="24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7"/>
      <c r="AP192" s="31"/>
      <c r="AS192" s="31"/>
      <c r="AY192" s="25"/>
      <c r="BF192" s="25"/>
      <c r="BG192" s="25"/>
      <c r="BH192" s="25"/>
      <c r="BI192" s="25"/>
      <c r="BJ192" s="24"/>
      <c r="BK192" s="24"/>
      <c r="BL192" s="25"/>
      <c r="BM192" s="25"/>
      <c r="BN192" s="25"/>
    </row>
    <row r="193" spans="1:66" ht="13.5" customHeight="1" x14ac:dyDescent="0.2">
      <c r="A193" s="22"/>
      <c r="B193" s="23"/>
      <c r="C193" s="23"/>
      <c r="D193" s="24"/>
      <c r="E193" s="24"/>
      <c r="F193" s="24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7"/>
      <c r="AP193" s="31"/>
      <c r="AS193" s="31"/>
      <c r="AY193" s="25"/>
      <c r="BF193" s="25"/>
      <c r="BG193" s="25"/>
      <c r="BH193" s="25"/>
      <c r="BI193" s="25"/>
      <c r="BJ193" s="24"/>
      <c r="BK193" s="24"/>
      <c r="BL193" s="25"/>
      <c r="BM193" s="25"/>
      <c r="BN193" s="25"/>
    </row>
    <row r="194" spans="1:66" ht="13.5" customHeight="1" x14ac:dyDescent="0.2">
      <c r="A194" s="22"/>
      <c r="B194" s="23"/>
      <c r="C194" s="23"/>
      <c r="D194" s="24"/>
      <c r="E194" s="24"/>
      <c r="F194" s="24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7"/>
      <c r="AP194" s="31"/>
      <c r="AS194" s="31"/>
      <c r="AY194" s="25"/>
      <c r="BF194" s="25"/>
      <c r="BG194" s="25"/>
      <c r="BH194" s="25"/>
      <c r="BI194" s="25"/>
      <c r="BJ194" s="24"/>
      <c r="BK194" s="24"/>
      <c r="BL194" s="25"/>
      <c r="BM194" s="25"/>
      <c r="BN194" s="25"/>
    </row>
    <row r="195" spans="1:66" ht="13.5" customHeight="1" x14ac:dyDescent="0.2">
      <c r="A195" s="22"/>
      <c r="B195" s="23"/>
      <c r="C195" s="23"/>
      <c r="D195" s="24"/>
      <c r="E195" s="24"/>
      <c r="F195" s="24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7"/>
      <c r="AP195" s="31"/>
      <c r="AS195" s="31"/>
      <c r="AY195" s="25"/>
      <c r="BF195" s="25"/>
      <c r="BG195" s="25"/>
      <c r="BH195" s="25"/>
      <c r="BI195" s="25"/>
      <c r="BJ195" s="24"/>
      <c r="BK195" s="24"/>
      <c r="BL195" s="25"/>
      <c r="BM195" s="25"/>
      <c r="BN195" s="25"/>
    </row>
    <row r="196" spans="1:66" ht="13.5" customHeight="1" x14ac:dyDescent="0.2">
      <c r="A196" s="22"/>
      <c r="B196" s="23"/>
      <c r="C196" s="23"/>
      <c r="D196" s="24"/>
      <c r="E196" s="24"/>
      <c r="F196" s="24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7"/>
      <c r="AP196" s="31"/>
      <c r="AS196" s="31"/>
      <c r="AY196" s="25"/>
      <c r="BF196" s="25"/>
      <c r="BG196" s="25"/>
      <c r="BH196" s="25"/>
      <c r="BI196" s="25"/>
      <c r="BJ196" s="24"/>
      <c r="BK196" s="24"/>
      <c r="BL196" s="25"/>
      <c r="BM196" s="25"/>
      <c r="BN196" s="25"/>
    </row>
    <row r="197" spans="1:66" ht="13.5" customHeight="1" x14ac:dyDescent="0.2">
      <c r="A197" s="22"/>
      <c r="B197" s="23"/>
      <c r="C197" s="23"/>
      <c r="D197" s="24"/>
      <c r="E197" s="24"/>
      <c r="F197" s="24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7"/>
      <c r="AP197" s="31"/>
      <c r="AS197" s="31"/>
      <c r="AY197" s="25"/>
      <c r="BF197" s="25"/>
      <c r="BG197" s="25"/>
      <c r="BH197" s="25"/>
      <c r="BI197" s="25"/>
      <c r="BJ197" s="24"/>
      <c r="BK197" s="24"/>
      <c r="BL197" s="25"/>
      <c r="BM197" s="25"/>
      <c r="BN197" s="25"/>
    </row>
    <row r="198" spans="1:66" ht="13.5" customHeight="1" x14ac:dyDescent="0.2">
      <c r="A198" s="22"/>
      <c r="B198" s="23"/>
      <c r="C198" s="23"/>
      <c r="D198" s="24"/>
      <c r="E198" s="24"/>
      <c r="F198" s="24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7"/>
      <c r="AP198" s="31"/>
      <c r="AS198" s="31"/>
      <c r="AY198" s="25"/>
      <c r="BF198" s="25"/>
      <c r="BG198" s="25"/>
      <c r="BH198" s="25"/>
      <c r="BI198" s="25"/>
      <c r="BJ198" s="24"/>
      <c r="BK198" s="24"/>
      <c r="BL198" s="25"/>
      <c r="BM198" s="25"/>
      <c r="BN198" s="25"/>
    </row>
    <row r="199" spans="1:66" ht="13.5" customHeight="1" x14ac:dyDescent="0.2">
      <c r="A199" s="22"/>
      <c r="B199" s="23"/>
      <c r="C199" s="23"/>
      <c r="D199" s="24"/>
      <c r="E199" s="24"/>
      <c r="F199" s="24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7"/>
      <c r="AP199" s="31"/>
      <c r="AS199" s="31"/>
      <c r="AY199" s="25"/>
      <c r="BF199" s="25"/>
      <c r="BG199" s="25"/>
      <c r="BH199" s="25"/>
      <c r="BI199" s="25"/>
      <c r="BJ199" s="24"/>
      <c r="BK199" s="24"/>
      <c r="BL199" s="25"/>
      <c r="BM199" s="25"/>
      <c r="BN199" s="25"/>
    </row>
    <row r="200" spans="1:66" ht="13.5" customHeight="1" x14ac:dyDescent="0.2">
      <c r="A200" s="22"/>
      <c r="B200" s="23"/>
      <c r="C200" s="23"/>
      <c r="D200" s="24"/>
      <c r="E200" s="24"/>
      <c r="F200" s="24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7"/>
      <c r="AP200" s="31"/>
      <c r="AS200" s="31"/>
      <c r="AY200" s="25"/>
      <c r="BF200" s="25"/>
      <c r="BG200" s="25"/>
      <c r="BH200" s="25"/>
      <c r="BI200" s="25"/>
      <c r="BJ200" s="24"/>
      <c r="BK200" s="24"/>
      <c r="BL200" s="25"/>
      <c r="BM200" s="25"/>
      <c r="BN200" s="25"/>
    </row>
    <row r="201" spans="1:66" ht="13.5" customHeight="1" x14ac:dyDescent="0.2">
      <c r="A201" s="22"/>
      <c r="B201" s="23"/>
      <c r="C201" s="23"/>
      <c r="D201" s="24"/>
      <c r="E201" s="24"/>
      <c r="F201" s="24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7"/>
      <c r="AP201" s="31"/>
      <c r="AS201" s="31"/>
      <c r="AY201" s="25"/>
      <c r="BF201" s="25"/>
      <c r="BG201" s="25"/>
      <c r="BH201" s="25"/>
      <c r="BI201" s="25"/>
      <c r="BJ201" s="24"/>
      <c r="BK201" s="24"/>
      <c r="BL201" s="25"/>
      <c r="BM201" s="25"/>
      <c r="BN201" s="25"/>
    </row>
    <row r="202" spans="1:66" ht="13.5" customHeight="1" x14ac:dyDescent="0.2">
      <c r="A202" s="22"/>
      <c r="B202" s="23"/>
      <c r="C202" s="23"/>
      <c r="D202" s="24"/>
      <c r="E202" s="24"/>
      <c r="F202" s="24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7"/>
      <c r="AP202" s="31"/>
      <c r="AS202" s="31"/>
      <c r="AY202" s="25"/>
      <c r="BF202" s="25"/>
      <c r="BG202" s="25"/>
      <c r="BH202" s="25"/>
      <c r="BI202" s="25"/>
      <c r="BJ202" s="24"/>
      <c r="BK202" s="24"/>
      <c r="BL202" s="25"/>
      <c r="BM202" s="25"/>
      <c r="BN202" s="25"/>
    </row>
    <row r="203" spans="1:66" ht="13.5" customHeight="1" x14ac:dyDescent="0.2">
      <c r="A203" s="22"/>
      <c r="B203" s="23"/>
      <c r="C203" s="23"/>
      <c r="D203" s="24"/>
      <c r="E203" s="24"/>
      <c r="F203" s="24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7"/>
      <c r="AP203" s="31"/>
      <c r="AS203" s="31"/>
      <c r="AY203" s="25"/>
      <c r="BF203" s="25"/>
      <c r="BG203" s="25"/>
      <c r="BH203" s="25"/>
      <c r="BI203" s="25"/>
      <c r="BJ203" s="24"/>
      <c r="BK203" s="24"/>
      <c r="BL203" s="25"/>
      <c r="BM203" s="25"/>
      <c r="BN203" s="25"/>
    </row>
    <row r="204" spans="1:66" ht="13.5" customHeight="1" x14ac:dyDescent="0.2">
      <c r="A204" s="22"/>
      <c r="B204" s="23"/>
      <c r="C204" s="23"/>
      <c r="D204" s="24"/>
      <c r="E204" s="24"/>
      <c r="F204" s="24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7"/>
      <c r="AP204" s="31"/>
      <c r="AS204" s="31"/>
      <c r="AY204" s="25"/>
      <c r="BF204" s="25"/>
      <c r="BG204" s="25"/>
      <c r="BH204" s="25"/>
      <c r="BI204" s="25"/>
      <c r="BJ204" s="24"/>
      <c r="BK204" s="24"/>
      <c r="BL204" s="25"/>
      <c r="BM204" s="25"/>
      <c r="BN204" s="25"/>
    </row>
    <row r="205" spans="1:66" ht="13.5" customHeight="1" x14ac:dyDescent="0.2">
      <c r="A205" s="22"/>
      <c r="B205" s="23"/>
      <c r="C205" s="23"/>
      <c r="D205" s="24"/>
      <c r="E205" s="24"/>
      <c r="F205" s="24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7"/>
      <c r="AP205" s="31"/>
      <c r="AS205" s="31"/>
      <c r="AY205" s="25"/>
      <c r="BF205" s="25"/>
      <c r="BG205" s="25"/>
      <c r="BH205" s="25"/>
      <c r="BI205" s="25"/>
      <c r="BJ205" s="24"/>
      <c r="BK205" s="24"/>
      <c r="BL205" s="25"/>
      <c r="BM205" s="25"/>
      <c r="BN205" s="25"/>
    </row>
    <row r="206" spans="1:66" ht="13.5" customHeight="1" x14ac:dyDescent="0.2">
      <c r="A206" s="22"/>
      <c r="B206" s="23"/>
      <c r="C206" s="23"/>
      <c r="D206" s="24"/>
      <c r="E206" s="24"/>
      <c r="F206" s="24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7"/>
      <c r="AP206" s="31"/>
      <c r="AS206" s="31"/>
      <c r="AY206" s="25"/>
      <c r="BF206" s="25"/>
      <c r="BG206" s="25"/>
      <c r="BH206" s="25"/>
      <c r="BI206" s="25"/>
      <c r="BJ206" s="24"/>
      <c r="BK206" s="24"/>
      <c r="BL206" s="25"/>
      <c r="BM206" s="25"/>
      <c r="BN206" s="25"/>
    </row>
    <row r="207" spans="1:66" ht="13.5" customHeight="1" x14ac:dyDescent="0.2">
      <c r="A207" s="22"/>
      <c r="B207" s="23"/>
      <c r="C207" s="23"/>
      <c r="D207" s="24"/>
      <c r="E207" s="24"/>
      <c r="F207" s="24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7"/>
      <c r="AP207" s="31"/>
      <c r="AS207" s="31"/>
      <c r="AY207" s="25"/>
      <c r="BF207" s="25"/>
      <c r="BG207" s="25"/>
      <c r="BH207" s="25"/>
      <c r="BI207" s="25"/>
      <c r="BJ207" s="24"/>
      <c r="BK207" s="24"/>
      <c r="BL207" s="25"/>
      <c r="BM207" s="25"/>
      <c r="BN207" s="25"/>
    </row>
    <row r="208" spans="1:66" ht="13.5" customHeight="1" x14ac:dyDescent="0.2">
      <c r="A208" s="22"/>
      <c r="B208" s="23"/>
      <c r="C208" s="23"/>
      <c r="D208" s="24"/>
      <c r="E208" s="24"/>
      <c r="F208" s="24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7"/>
      <c r="AP208" s="31"/>
      <c r="AS208" s="31"/>
      <c r="AY208" s="25"/>
      <c r="BF208" s="25"/>
      <c r="BG208" s="25"/>
      <c r="BH208" s="25"/>
      <c r="BI208" s="25"/>
      <c r="BJ208" s="24"/>
      <c r="BK208" s="24"/>
      <c r="BL208" s="25"/>
      <c r="BM208" s="25"/>
      <c r="BN208" s="25"/>
    </row>
    <row r="209" spans="1:66" ht="13.5" customHeight="1" x14ac:dyDescent="0.2">
      <c r="A209" s="22"/>
      <c r="B209" s="23"/>
      <c r="C209" s="23"/>
      <c r="D209" s="24"/>
      <c r="E209" s="24"/>
      <c r="F209" s="24"/>
      <c r="G209" s="2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7"/>
      <c r="AP209" s="31"/>
      <c r="AS209" s="31"/>
      <c r="AY209" s="25"/>
      <c r="BF209" s="25"/>
      <c r="BG209" s="25"/>
      <c r="BH209" s="25"/>
      <c r="BI209" s="25"/>
      <c r="BJ209" s="24"/>
      <c r="BK209" s="24"/>
      <c r="BL209" s="25"/>
      <c r="BM209" s="25"/>
      <c r="BN209" s="25"/>
    </row>
    <row r="210" spans="1:66" ht="13.5" customHeight="1" x14ac:dyDescent="0.2">
      <c r="A210" s="22"/>
      <c r="B210" s="23"/>
      <c r="C210" s="23"/>
      <c r="D210" s="24"/>
      <c r="E210" s="24"/>
      <c r="F210" s="24"/>
      <c r="G210" s="2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7"/>
      <c r="AP210" s="31"/>
      <c r="AS210" s="31"/>
      <c r="AY210" s="25"/>
      <c r="BF210" s="25"/>
      <c r="BG210" s="25"/>
      <c r="BH210" s="25"/>
      <c r="BI210" s="25"/>
      <c r="BJ210" s="24"/>
      <c r="BK210" s="24"/>
      <c r="BL210" s="25"/>
      <c r="BM210" s="25"/>
      <c r="BN210" s="25"/>
    </row>
    <row r="211" spans="1:66" ht="13.5" customHeight="1" x14ac:dyDescent="0.2">
      <c r="A211" s="22"/>
      <c r="B211" s="23"/>
      <c r="C211" s="23"/>
      <c r="D211" s="24"/>
      <c r="E211" s="24"/>
      <c r="F211" s="24"/>
      <c r="G211" s="24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7"/>
      <c r="AP211" s="31"/>
      <c r="AS211" s="31"/>
      <c r="AY211" s="25"/>
      <c r="BF211" s="25"/>
      <c r="BG211" s="25"/>
      <c r="BH211" s="25"/>
      <c r="BI211" s="25"/>
      <c r="BJ211" s="24"/>
      <c r="BK211" s="24"/>
      <c r="BL211" s="25"/>
      <c r="BM211" s="25"/>
      <c r="BN211" s="25"/>
    </row>
    <row r="212" spans="1:66" ht="13.5" customHeight="1" x14ac:dyDescent="0.2">
      <c r="A212" s="22"/>
      <c r="B212" s="23"/>
      <c r="C212" s="23"/>
      <c r="D212" s="24"/>
      <c r="E212" s="24"/>
      <c r="F212" s="24"/>
      <c r="G212" s="24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7"/>
      <c r="AP212" s="31"/>
      <c r="AS212" s="31"/>
      <c r="AY212" s="25"/>
      <c r="BF212" s="25"/>
      <c r="BG212" s="25"/>
      <c r="BH212" s="25"/>
      <c r="BI212" s="25"/>
      <c r="BJ212" s="24"/>
      <c r="BK212" s="24"/>
      <c r="BL212" s="25"/>
      <c r="BM212" s="25"/>
      <c r="BN212" s="25"/>
    </row>
    <row r="213" spans="1:66" ht="13.5" customHeight="1" x14ac:dyDescent="0.2">
      <c r="A213" s="22"/>
      <c r="B213" s="23"/>
      <c r="C213" s="23"/>
      <c r="D213" s="24"/>
      <c r="E213" s="24"/>
      <c r="F213" s="24"/>
      <c r="G213" s="24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7"/>
      <c r="AP213" s="31"/>
      <c r="AS213" s="31"/>
      <c r="AY213" s="25"/>
      <c r="BF213" s="25"/>
      <c r="BG213" s="25"/>
      <c r="BH213" s="25"/>
      <c r="BI213" s="25"/>
      <c r="BJ213" s="24"/>
      <c r="BK213" s="24"/>
      <c r="BL213" s="25"/>
      <c r="BM213" s="25"/>
      <c r="BN213" s="25"/>
    </row>
    <row r="214" spans="1:66" ht="13.5" customHeight="1" x14ac:dyDescent="0.2">
      <c r="A214" s="22"/>
      <c r="B214" s="23"/>
      <c r="C214" s="23"/>
      <c r="D214" s="24"/>
      <c r="E214" s="24"/>
      <c r="F214" s="24"/>
      <c r="G214" s="24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7"/>
      <c r="AP214" s="31"/>
      <c r="AS214" s="31"/>
      <c r="AY214" s="25"/>
      <c r="BF214" s="25"/>
      <c r="BG214" s="25"/>
      <c r="BH214" s="25"/>
      <c r="BI214" s="25"/>
      <c r="BJ214" s="24"/>
      <c r="BK214" s="24"/>
      <c r="BL214" s="25"/>
      <c r="BM214" s="25"/>
      <c r="BN214" s="25"/>
    </row>
    <row r="215" spans="1:66" ht="13.5" customHeight="1" x14ac:dyDescent="0.2">
      <c r="A215" s="22"/>
      <c r="B215" s="23"/>
      <c r="C215" s="23"/>
      <c r="D215" s="24"/>
      <c r="E215" s="24"/>
      <c r="F215" s="24"/>
      <c r="G215" s="24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7"/>
      <c r="AP215" s="31"/>
      <c r="AS215" s="31"/>
      <c r="AY215" s="25"/>
      <c r="BF215" s="25"/>
      <c r="BG215" s="25"/>
      <c r="BH215" s="25"/>
      <c r="BI215" s="25"/>
      <c r="BJ215" s="24"/>
      <c r="BK215" s="24"/>
      <c r="BL215" s="25"/>
      <c r="BM215" s="25"/>
      <c r="BN215" s="25"/>
    </row>
    <row r="216" spans="1:66" ht="13.5" customHeight="1" x14ac:dyDescent="0.2">
      <c r="A216" s="22"/>
      <c r="B216" s="23"/>
      <c r="C216" s="23"/>
      <c r="D216" s="24"/>
      <c r="E216" s="24"/>
      <c r="F216" s="24"/>
      <c r="G216" s="24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7"/>
      <c r="AP216" s="31"/>
      <c r="AS216" s="31"/>
      <c r="AY216" s="25"/>
      <c r="BF216" s="25"/>
      <c r="BG216" s="25"/>
      <c r="BH216" s="25"/>
      <c r="BI216" s="25"/>
      <c r="BJ216" s="24"/>
      <c r="BK216" s="24"/>
      <c r="BL216" s="25"/>
      <c r="BM216" s="25"/>
      <c r="BN216" s="25"/>
    </row>
    <row r="217" spans="1:66" ht="13.5" customHeight="1" x14ac:dyDescent="0.2">
      <c r="A217" s="22"/>
      <c r="B217" s="23"/>
      <c r="C217" s="23"/>
      <c r="D217" s="24"/>
      <c r="E217" s="24"/>
      <c r="F217" s="24"/>
      <c r="G217" s="24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7"/>
      <c r="AP217" s="31"/>
      <c r="AS217" s="31"/>
      <c r="AY217" s="25"/>
      <c r="BF217" s="25"/>
      <c r="BG217" s="25"/>
      <c r="BH217" s="25"/>
      <c r="BI217" s="25"/>
      <c r="BJ217" s="24"/>
      <c r="BK217" s="24"/>
      <c r="BL217" s="25"/>
      <c r="BM217" s="25"/>
      <c r="BN217" s="25"/>
    </row>
    <row r="218" spans="1:66" ht="13.5" customHeight="1" x14ac:dyDescent="0.2">
      <c r="A218" s="22"/>
      <c r="B218" s="23"/>
      <c r="C218" s="23"/>
      <c r="D218" s="24"/>
      <c r="E218" s="24"/>
      <c r="F218" s="24"/>
      <c r="G218" s="24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7"/>
      <c r="AP218" s="31"/>
      <c r="AS218" s="31"/>
      <c r="AY218" s="25"/>
      <c r="BF218" s="25"/>
      <c r="BG218" s="25"/>
      <c r="BH218" s="25"/>
      <c r="BI218" s="25"/>
      <c r="BJ218" s="24"/>
      <c r="BK218" s="24"/>
      <c r="BL218" s="25"/>
      <c r="BM218" s="25"/>
      <c r="BN218" s="25"/>
    </row>
    <row r="219" spans="1:66" ht="13.5" customHeight="1" x14ac:dyDescent="0.2">
      <c r="A219" s="22"/>
      <c r="B219" s="23"/>
      <c r="C219" s="23"/>
      <c r="D219" s="24"/>
      <c r="E219" s="24"/>
      <c r="F219" s="24"/>
      <c r="G219" s="24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7"/>
      <c r="AP219" s="31"/>
      <c r="AS219" s="31"/>
      <c r="AY219" s="25"/>
      <c r="BF219" s="25"/>
      <c r="BG219" s="25"/>
      <c r="BH219" s="25"/>
      <c r="BI219" s="25"/>
      <c r="BJ219" s="24"/>
      <c r="BK219" s="24"/>
      <c r="BL219" s="25"/>
      <c r="BM219" s="25"/>
      <c r="BN219" s="25"/>
    </row>
    <row r="220" spans="1:66" ht="13.5" customHeight="1" x14ac:dyDescent="0.2">
      <c r="A220" s="22"/>
      <c r="B220" s="23"/>
      <c r="C220" s="23"/>
      <c r="D220" s="24"/>
      <c r="E220" s="24"/>
      <c r="F220" s="24"/>
      <c r="G220" s="24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7"/>
      <c r="AP220" s="31"/>
      <c r="AS220" s="31"/>
      <c r="AY220" s="25"/>
      <c r="BF220" s="25"/>
      <c r="BG220" s="25"/>
      <c r="BH220" s="25"/>
      <c r="BI220" s="25"/>
      <c r="BJ220" s="24"/>
      <c r="BK220" s="24"/>
      <c r="BL220" s="25"/>
      <c r="BM220" s="25"/>
      <c r="BN220" s="25"/>
    </row>
    <row r="221" spans="1:66" ht="13.5" customHeight="1" x14ac:dyDescent="0.2">
      <c r="A221" s="22"/>
      <c r="B221" s="23"/>
      <c r="C221" s="23"/>
      <c r="D221" s="24"/>
      <c r="E221" s="24"/>
      <c r="F221" s="24"/>
      <c r="G221" s="24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7"/>
      <c r="AN221" s="25"/>
      <c r="AO221" s="25"/>
      <c r="AP221" s="28"/>
      <c r="AQ221" s="25"/>
      <c r="AR221" s="25"/>
      <c r="AS221" s="28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F221" s="25"/>
      <c r="BG221" s="25"/>
      <c r="BH221" s="25"/>
      <c r="BI221" s="25"/>
      <c r="BJ221" s="24"/>
      <c r="BK221" s="24"/>
      <c r="BL221" s="25"/>
      <c r="BM221" s="25"/>
      <c r="BN221" s="25"/>
    </row>
    <row r="222" spans="1:66" ht="13.5" customHeight="1" x14ac:dyDescent="0.2">
      <c r="A222" s="22"/>
      <c r="B222" s="23"/>
      <c r="C222" s="23"/>
      <c r="D222" s="24"/>
      <c r="E222" s="24"/>
      <c r="F222" s="24"/>
      <c r="G222" s="24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7"/>
      <c r="AN222" s="25"/>
      <c r="AO222" s="25"/>
      <c r="AP222" s="28"/>
      <c r="AQ222" s="25"/>
      <c r="AR222" s="25"/>
      <c r="AS222" s="28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F222" s="25"/>
      <c r="BG222" s="25"/>
      <c r="BH222" s="25"/>
      <c r="BI222" s="25"/>
      <c r="BJ222" s="24"/>
      <c r="BK222" s="24"/>
      <c r="BL222" s="25"/>
      <c r="BM222" s="25"/>
      <c r="BN222" s="25"/>
    </row>
    <row r="223" spans="1:66" ht="13.5" customHeight="1" x14ac:dyDescent="0.2">
      <c r="A223" s="22"/>
      <c r="B223" s="23"/>
      <c r="C223" s="23"/>
      <c r="D223" s="24"/>
      <c r="E223" s="24"/>
      <c r="F223" s="24"/>
      <c r="G223" s="24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7"/>
      <c r="AN223" s="25"/>
      <c r="AO223" s="25"/>
      <c r="AP223" s="28"/>
      <c r="AQ223" s="25"/>
      <c r="AR223" s="25"/>
      <c r="AS223" s="28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F223" s="25"/>
      <c r="BG223" s="25"/>
      <c r="BH223" s="25"/>
      <c r="BI223" s="25"/>
      <c r="BJ223" s="24"/>
      <c r="BK223" s="24"/>
      <c r="BL223" s="25"/>
      <c r="BM223" s="25"/>
      <c r="BN223" s="25"/>
    </row>
    <row r="224" spans="1:66" ht="13.5" customHeight="1" x14ac:dyDescent="0.2">
      <c r="A224" s="22"/>
      <c r="B224" s="23"/>
      <c r="C224" s="23"/>
      <c r="D224" s="24"/>
      <c r="E224" s="24"/>
      <c r="F224" s="24"/>
      <c r="G224" s="24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7"/>
      <c r="AN224" s="25"/>
      <c r="AO224" s="25"/>
      <c r="AP224" s="28"/>
      <c r="AQ224" s="25"/>
      <c r="AR224" s="25"/>
      <c r="AS224" s="28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F224" s="25"/>
      <c r="BG224" s="25"/>
      <c r="BH224" s="25"/>
      <c r="BI224" s="25"/>
      <c r="BJ224" s="24"/>
      <c r="BK224" s="24"/>
      <c r="BL224" s="25"/>
      <c r="BM224" s="25"/>
      <c r="BN224" s="25"/>
    </row>
    <row r="225" spans="1:66" ht="13.5" customHeight="1" x14ac:dyDescent="0.2">
      <c r="A225" s="22"/>
      <c r="B225" s="23"/>
      <c r="C225" s="23"/>
      <c r="D225" s="24"/>
      <c r="E225" s="24"/>
      <c r="F225" s="24"/>
      <c r="G225" s="24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7"/>
      <c r="AN225" s="25"/>
      <c r="AO225" s="25"/>
      <c r="AP225" s="28"/>
      <c r="AQ225" s="25"/>
      <c r="AR225" s="25"/>
      <c r="AS225" s="28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F225" s="25"/>
      <c r="BG225" s="25"/>
      <c r="BH225" s="25"/>
      <c r="BI225" s="25"/>
      <c r="BJ225" s="24"/>
      <c r="BK225" s="24"/>
      <c r="BL225" s="25"/>
      <c r="BM225" s="25"/>
      <c r="BN225" s="25"/>
    </row>
    <row r="226" spans="1:66" ht="13.5" customHeight="1" x14ac:dyDescent="0.2">
      <c r="A226" s="22"/>
      <c r="B226" s="23"/>
      <c r="C226" s="23"/>
      <c r="D226" s="24"/>
      <c r="E226" s="24"/>
      <c r="F226" s="24"/>
      <c r="G226" s="24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7"/>
      <c r="AN226" s="25"/>
      <c r="AO226" s="25"/>
      <c r="AP226" s="28"/>
      <c r="AQ226" s="25"/>
      <c r="AR226" s="25"/>
      <c r="AS226" s="28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F226" s="25"/>
      <c r="BG226" s="25"/>
      <c r="BH226" s="25"/>
      <c r="BI226" s="25"/>
      <c r="BJ226" s="24"/>
      <c r="BK226" s="24"/>
      <c r="BL226" s="25"/>
      <c r="BM226" s="25"/>
      <c r="BN226" s="25"/>
    </row>
    <row r="227" spans="1:66" ht="13.5" customHeight="1" x14ac:dyDescent="0.2">
      <c r="A227" s="22"/>
      <c r="B227" s="23"/>
      <c r="C227" s="23"/>
      <c r="D227" s="24"/>
      <c r="E227" s="24"/>
      <c r="F227" s="24"/>
      <c r="G227" s="24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7"/>
      <c r="AN227" s="25"/>
      <c r="AO227" s="25"/>
      <c r="AP227" s="28"/>
      <c r="AQ227" s="25"/>
      <c r="AR227" s="25"/>
      <c r="AS227" s="28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F227" s="25"/>
      <c r="BG227" s="25"/>
      <c r="BH227" s="25"/>
      <c r="BI227" s="25"/>
      <c r="BJ227" s="24"/>
      <c r="BK227" s="24"/>
      <c r="BL227" s="25"/>
      <c r="BM227" s="25"/>
      <c r="BN227" s="25"/>
    </row>
    <row r="228" spans="1:66" ht="13.5" customHeight="1" x14ac:dyDescent="0.2">
      <c r="A228" s="22"/>
      <c r="B228" s="23"/>
      <c r="C228" s="23"/>
      <c r="D228" s="24"/>
      <c r="E228" s="24"/>
      <c r="F228" s="24"/>
      <c r="G228" s="24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7"/>
      <c r="AN228" s="25"/>
      <c r="AO228" s="25"/>
      <c r="AP228" s="28"/>
      <c r="AQ228" s="25"/>
      <c r="AR228" s="25"/>
      <c r="AS228" s="28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F228" s="25"/>
      <c r="BG228" s="25"/>
      <c r="BH228" s="25"/>
      <c r="BI228" s="25"/>
      <c r="BJ228" s="24"/>
      <c r="BK228" s="24"/>
      <c r="BL228" s="25"/>
      <c r="BM228" s="25"/>
      <c r="BN228" s="25"/>
    </row>
    <row r="229" spans="1:66" ht="13.5" customHeight="1" x14ac:dyDescent="0.2">
      <c r="A229" s="22"/>
      <c r="B229" s="23"/>
      <c r="C229" s="23"/>
      <c r="D229" s="24"/>
      <c r="E229" s="24"/>
      <c r="F229" s="24"/>
      <c r="G229" s="24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7"/>
      <c r="AN229" s="25"/>
      <c r="AO229" s="25"/>
      <c r="AP229" s="28"/>
      <c r="AQ229" s="25"/>
      <c r="AR229" s="25"/>
      <c r="AS229" s="28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F229" s="25"/>
      <c r="BG229" s="25"/>
      <c r="BH229" s="25"/>
      <c r="BI229" s="25"/>
      <c r="BJ229" s="24"/>
      <c r="BK229" s="24"/>
      <c r="BL229" s="25"/>
      <c r="BM229" s="25"/>
      <c r="BN229" s="25"/>
    </row>
    <row r="230" spans="1:66" ht="13.5" customHeight="1" x14ac:dyDescent="0.2">
      <c r="A230" s="22"/>
      <c r="B230" s="23"/>
      <c r="C230" s="23"/>
      <c r="D230" s="24"/>
      <c r="E230" s="24"/>
      <c r="F230" s="24"/>
      <c r="G230" s="24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7"/>
      <c r="AN230" s="25"/>
      <c r="AO230" s="25"/>
      <c r="AP230" s="28"/>
      <c r="AQ230" s="25"/>
      <c r="AR230" s="25"/>
      <c r="AS230" s="28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F230" s="25"/>
      <c r="BG230" s="25"/>
      <c r="BH230" s="25"/>
      <c r="BI230" s="25"/>
      <c r="BJ230" s="24"/>
      <c r="BK230" s="24"/>
      <c r="BL230" s="25"/>
      <c r="BM230" s="25"/>
      <c r="BN230" s="25"/>
    </row>
    <row r="231" spans="1:66" ht="13.5" customHeight="1" x14ac:dyDescent="0.2">
      <c r="A231" s="22"/>
      <c r="B231" s="23"/>
      <c r="C231" s="23"/>
      <c r="D231" s="24"/>
      <c r="E231" s="24"/>
      <c r="F231" s="24"/>
      <c r="G231" s="24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7"/>
      <c r="AN231" s="25"/>
      <c r="AO231" s="25"/>
      <c r="AP231" s="28"/>
      <c r="AQ231" s="25"/>
      <c r="AR231" s="25"/>
      <c r="AS231" s="28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F231" s="25"/>
      <c r="BG231" s="25"/>
      <c r="BH231" s="25"/>
      <c r="BI231" s="25"/>
      <c r="BJ231" s="24"/>
      <c r="BK231" s="24"/>
      <c r="BL231" s="25"/>
      <c r="BM231" s="25"/>
      <c r="BN231" s="25"/>
    </row>
    <row r="232" spans="1:66" ht="13.5" customHeight="1" x14ac:dyDescent="0.2">
      <c r="A232" s="22"/>
      <c r="B232" s="23"/>
      <c r="C232" s="23"/>
      <c r="D232" s="24"/>
      <c r="E232" s="24"/>
      <c r="F232" s="24"/>
      <c r="G232" s="24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7"/>
      <c r="AN232" s="25"/>
      <c r="AO232" s="25"/>
      <c r="AP232" s="28"/>
      <c r="AQ232" s="25"/>
      <c r="AR232" s="25"/>
      <c r="AS232" s="28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F232" s="25"/>
      <c r="BG232" s="25"/>
      <c r="BH232" s="25"/>
      <c r="BI232" s="25"/>
      <c r="BJ232" s="24"/>
      <c r="BK232" s="24"/>
      <c r="BL232" s="25"/>
      <c r="BM232" s="25"/>
      <c r="BN232" s="25"/>
    </row>
    <row r="233" spans="1:66" ht="13.5" customHeight="1" x14ac:dyDescent="0.2">
      <c r="A233" s="22"/>
      <c r="B233" s="23"/>
      <c r="C233" s="23"/>
      <c r="D233" s="24"/>
      <c r="E233" s="24"/>
      <c r="F233" s="24"/>
      <c r="G233" s="24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7"/>
      <c r="AN233" s="25"/>
      <c r="AO233" s="25"/>
      <c r="AP233" s="28"/>
      <c r="AQ233" s="25"/>
      <c r="AR233" s="25"/>
      <c r="AS233" s="28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F233" s="25"/>
      <c r="BG233" s="25"/>
      <c r="BH233" s="25"/>
      <c r="BI233" s="25"/>
      <c r="BJ233" s="24"/>
      <c r="BK233" s="24"/>
      <c r="BL233" s="25"/>
      <c r="BM233" s="25"/>
      <c r="BN233" s="25"/>
    </row>
    <row r="234" spans="1:66" ht="13.5" customHeight="1" x14ac:dyDescent="0.2">
      <c r="A234" s="22"/>
      <c r="B234" s="23"/>
      <c r="C234" s="23"/>
      <c r="D234" s="24"/>
      <c r="E234" s="24"/>
      <c r="F234" s="24"/>
      <c r="G234" s="24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7"/>
      <c r="AN234" s="25"/>
      <c r="AO234" s="25"/>
      <c r="AP234" s="28"/>
      <c r="AQ234" s="25"/>
      <c r="AR234" s="25"/>
      <c r="AS234" s="28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F234" s="25"/>
      <c r="BG234" s="25"/>
      <c r="BH234" s="25"/>
      <c r="BI234" s="25"/>
      <c r="BJ234" s="24"/>
      <c r="BK234" s="24"/>
      <c r="BL234" s="25"/>
      <c r="BM234" s="25"/>
      <c r="BN234" s="25"/>
    </row>
    <row r="235" spans="1:66" ht="13.5" customHeight="1" x14ac:dyDescent="0.2">
      <c r="A235" s="22"/>
      <c r="B235" s="23"/>
      <c r="C235" s="23"/>
      <c r="D235" s="24"/>
      <c r="E235" s="24"/>
      <c r="F235" s="24"/>
      <c r="G235" s="24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7"/>
      <c r="AN235" s="25"/>
      <c r="AO235" s="25"/>
      <c r="AP235" s="28"/>
      <c r="AQ235" s="25"/>
      <c r="AR235" s="25"/>
      <c r="AS235" s="28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F235" s="25"/>
      <c r="BG235" s="25"/>
      <c r="BH235" s="25"/>
      <c r="BI235" s="25"/>
      <c r="BJ235" s="24"/>
      <c r="BK235" s="24"/>
      <c r="BL235" s="25"/>
      <c r="BM235" s="25"/>
      <c r="BN235" s="25"/>
    </row>
    <row r="236" spans="1:66" ht="13.5" customHeight="1" x14ac:dyDescent="0.2">
      <c r="A236" s="22"/>
      <c r="B236" s="23"/>
      <c r="C236" s="23"/>
      <c r="D236" s="24"/>
      <c r="E236" s="24"/>
      <c r="F236" s="24"/>
      <c r="G236" s="24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7"/>
      <c r="AN236" s="25"/>
      <c r="AO236" s="25"/>
      <c r="AP236" s="28"/>
      <c r="AQ236" s="25"/>
      <c r="AR236" s="25"/>
      <c r="AS236" s="28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F236" s="25"/>
      <c r="BG236" s="25"/>
      <c r="BH236" s="25"/>
      <c r="BI236" s="25"/>
      <c r="BJ236" s="24"/>
      <c r="BK236" s="24"/>
      <c r="BL236" s="25"/>
      <c r="BM236" s="25"/>
      <c r="BN236" s="25"/>
    </row>
    <row r="237" spans="1:66" ht="13.5" customHeight="1" x14ac:dyDescent="0.2">
      <c r="A237" s="22"/>
      <c r="B237" s="23"/>
      <c r="C237" s="23"/>
      <c r="D237" s="24"/>
      <c r="E237" s="24"/>
      <c r="F237" s="24"/>
      <c r="G237" s="24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7"/>
      <c r="AN237" s="25"/>
      <c r="AO237" s="25"/>
      <c r="AP237" s="28"/>
      <c r="AQ237" s="25"/>
      <c r="AR237" s="25"/>
      <c r="AS237" s="28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F237" s="25"/>
      <c r="BG237" s="25"/>
      <c r="BH237" s="25"/>
      <c r="BI237" s="25"/>
      <c r="BJ237" s="24"/>
      <c r="BK237" s="24"/>
      <c r="BL237" s="25"/>
      <c r="BM237" s="25"/>
      <c r="BN237" s="25"/>
    </row>
    <row r="238" spans="1:66" ht="13.5" customHeight="1" x14ac:dyDescent="0.2">
      <c r="A238" s="22"/>
      <c r="B238" s="23"/>
      <c r="C238" s="23"/>
      <c r="D238" s="24"/>
      <c r="E238" s="24"/>
      <c r="F238" s="24"/>
      <c r="G238" s="24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7"/>
      <c r="AN238" s="25"/>
      <c r="AO238" s="25"/>
      <c r="AP238" s="28"/>
      <c r="AQ238" s="25"/>
      <c r="AR238" s="25"/>
      <c r="AS238" s="28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F238" s="25"/>
      <c r="BG238" s="25"/>
      <c r="BH238" s="25"/>
      <c r="BI238" s="25"/>
      <c r="BJ238" s="24"/>
      <c r="BK238" s="24"/>
      <c r="BL238" s="25"/>
      <c r="BM238" s="25"/>
      <c r="BN238" s="25"/>
    </row>
    <row r="239" spans="1:66" ht="13.5" customHeight="1" x14ac:dyDescent="0.2">
      <c r="A239" s="22"/>
      <c r="B239" s="23"/>
      <c r="C239" s="23"/>
      <c r="D239" s="24"/>
      <c r="E239" s="24"/>
      <c r="F239" s="24"/>
      <c r="G239" s="24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7"/>
      <c r="AN239" s="25"/>
      <c r="AO239" s="25"/>
      <c r="AP239" s="28"/>
      <c r="AQ239" s="25"/>
      <c r="AR239" s="25"/>
      <c r="AS239" s="28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F239" s="25"/>
      <c r="BG239" s="25"/>
      <c r="BH239" s="25"/>
      <c r="BI239" s="25"/>
      <c r="BJ239" s="24"/>
      <c r="BK239" s="24"/>
      <c r="BL239" s="25"/>
      <c r="BM239" s="25"/>
      <c r="BN239" s="25"/>
    </row>
    <row r="240" spans="1:66" ht="13.5" customHeight="1" x14ac:dyDescent="0.2">
      <c r="A240" s="22"/>
      <c r="B240" s="23"/>
      <c r="C240" s="23"/>
      <c r="D240" s="24"/>
      <c r="E240" s="24"/>
      <c r="F240" s="24"/>
      <c r="G240" s="24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7"/>
      <c r="AN240" s="25"/>
      <c r="AO240" s="25"/>
      <c r="AP240" s="28"/>
      <c r="AQ240" s="25"/>
      <c r="AR240" s="25"/>
      <c r="AS240" s="28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F240" s="25"/>
      <c r="BG240" s="25"/>
      <c r="BH240" s="25"/>
      <c r="BI240" s="25"/>
      <c r="BJ240" s="24"/>
      <c r="BK240" s="24"/>
      <c r="BL240" s="25"/>
      <c r="BM240" s="25"/>
      <c r="BN240" s="25"/>
    </row>
    <row r="241" spans="1:66" ht="13.5" customHeight="1" x14ac:dyDescent="0.2">
      <c r="A241" s="22"/>
      <c r="B241" s="23"/>
      <c r="C241" s="23"/>
      <c r="D241" s="24"/>
      <c r="E241" s="24"/>
      <c r="F241" s="24"/>
      <c r="G241" s="24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7"/>
      <c r="AN241" s="25"/>
      <c r="AO241" s="25"/>
      <c r="AP241" s="28"/>
      <c r="AQ241" s="25"/>
      <c r="AR241" s="25"/>
      <c r="AS241" s="28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F241" s="25"/>
      <c r="BG241" s="25"/>
      <c r="BH241" s="25"/>
      <c r="BI241" s="25"/>
      <c r="BJ241" s="24"/>
      <c r="BK241" s="24"/>
      <c r="BL241" s="25"/>
      <c r="BM241" s="25"/>
      <c r="BN241" s="25"/>
    </row>
    <row r="242" spans="1:66" ht="13.5" customHeight="1" x14ac:dyDescent="0.2">
      <c r="A242" s="22"/>
      <c r="B242" s="23"/>
      <c r="C242" s="23"/>
      <c r="D242" s="24"/>
      <c r="E242" s="24"/>
      <c r="F242" s="24"/>
      <c r="G242" s="24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7"/>
      <c r="AN242" s="25"/>
      <c r="AO242" s="25"/>
      <c r="AP242" s="28"/>
      <c r="AQ242" s="25"/>
      <c r="AR242" s="25"/>
      <c r="AS242" s="28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F242" s="25"/>
      <c r="BG242" s="25"/>
      <c r="BH242" s="25"/>
      <c r="BI242" s="25"/>
      <c r="BJ242" s="24"/>
      <c r="BK242" s="24"/>
      <c r="BL242" s="25"/>
      <c r="BM242" s="25"/>
      <c r="BN242" s="25"/>
    </row>
    <row r="243" spans="1:66" ht="13.5" customHeight="1" x14ac:dyDescent="0.2">
      <c r="A243" s="22"/>
      <c r="B243" s="23"/>
      <c r="C243" s="23"/>
      <c r="D243" s="24"/>
      <c r="E243" s="24"/>
      <c r="F243" s="24"/>
      <c r="G243" s="24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7"/>
      <c r="AN243" s="25"/>
      <c r="AO243" s="25"/>
      <c r="AP243" s="28"/>
      <c r="AQ243" s="25"/>
      <c r="AR243" s="25"/>
      <c r="AS243" s="28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F243" s="25"/>
      <c r="BG243" s="25"/>
      <c r="BH243" s="25"/>
      <c r="BI243" s="25"/>
      <c r="BJ243" s="24"/>
      <c r="BK243" s="24"/>
      <c r="BL243" s="25"/>
      <c r="BM243" s="25"/>
      <c r="BN243" s="25"/>
    </row>
    <row r="244" spans="1:66" ht="13.5" customHeight="1" x14ac:dyDescent="0.2">
      <c r="A244" s="22"/>
      <c r="B244" s="23"/>
      <c r="C244" s="23"/>
      <c r="D244" s="24"/>
      <c r="E244" s="24"/>
      <c r="F244" s="24"/>
      <c r="G244" s="24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7"/>
      <c r="AN244" s="25"/>
      <c r="AO244" s="25"/>
      <c r="AP244" s="28"/>
      <c r="AQ244" s="25"/>
      <c r="AR244" s="25"/>
      <c r="AS244" s="28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F244" s="25"/>
      <c r="BG244" s="25"/>
      <c r="BH244" s="25"/>
      <c r="BI244" s="25"/>
      <c r="BJ244" s="24"/>
      <c r="BK244" s="24"/>
      <c r="BL244" s="25"/>
      <c r="BM244" s="25"/>
      <c r="BN244" s="25"/>
    </row>
    <row r="245" spans="1:66" ht="13.5" customHeight="1" x14ac:dyDescent="0.2">
      <c r="A245" s="22"/>
      <c r="B245" s="23"/>
      <c r="C245" s="23"/>
      <c r="D245" s="24"/>
      <c r="E245" s="24"/>
      <c r="F245" s="24"/>
      <c r="G245" s="24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7"/>
      <c r="AN245" s="25"/>
      <c r="AO245" s="25"/>
      <c r="AP245" s="28"/>
      <c r="AQ245" s="25"/>
      <c r="AR245" s="25"/>
      <c r="AS245" s="28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F245" s="25"/>
      <c r="BG245" s="25"/>
      <c r="BH245" s="25"/>
      <c r="BI245" s="25"/>
      <c r="BJ245" s="24"/>
      <c r="BK245" s="24"/>
      <c r="BL245" s="25"/>
      <c r="BM245" s="25"/>
      <c r="BN245" s="25"/>
    </row>
    <row r="246" spans="1:66" ht="13.5" customHeight="1" x14ac:dyDescent="0.2">
      <c r="A246" s="22"/>
      <c r="B246" s="23"/>
      <c r="C246" s="23"/>
      <c r="D246" s="24"/>
      <c r="E246" s="24"/>
      <c r="F246" s="24"/>
      <c r="G246" s="24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7"/>
      <c r="AN246" s="25"/>
      <c r="AO246" s="25"/>
      <c r="AP246" s="28"/>
      <c r="AQ246" s="25"/>
      <c r="AR246" s="25"/>
      <c r="AS246" s="28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F246" s="25"/>
      <c r="BG246" s="25"/>
      <c r="BH246" s="25"/>
      <c r="BI246" s="25"/>
      <c r="BJ246" s="24"/>
      <c r="BK246" s="24"/>
      <c r="BL246" s="25"/>
      <c r="BM246" s="25"/>
      <c r="BN246" s="25"/>
    </row>
    <row r="247" spans="1:66" ht="13.5" customHeight="1" x14ac:dyDescent="0.2">
      <c r="A247" s="22"/>
      <c r="B247" s="23"/>
      <c r="C247" s="23"/>
      <c r="D247" s="24"/>
      <c r="E247" s="24"/>
      <c r="F247" s="24"/>
      <c r="G247" s="24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7"/>
      <c r="AN247" s="25"/>
      <c r="AO247" s="25"/>
      <c r="AP247" s="28"/>
      <c r="AQ247" s="25"/>
      <c r="AR247" s="25"/>
      <c r="AS247" s="28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F247" s="25"/>
      <c r="BG247" s="25"/>
      <c r="BH247" s="25"/>
      <c r="BI247" s="25"/>
      <c r="BJ247" s="24"/>
      <c r="BK247" s="24"/>
      <c r="BL247" s="25"/>
      <c r="BM247" s="25"/>
      <c r="BN247" s="25"/>
    </row>
    <row r="248" spans="1:66" ht="13.5" customHeight="1" x14ac:dyDescent="0.2">
      <c r="A248" s="22"/>
      <c r="B248" s="23"/>
      <c r="C248" s="23"/>
      <c r="D248" s="24"/>
      <c r="E248" s="24"/>
      <c r="F248" s="24"/>
      <c r="G248" s="24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7"/>
      <c r="AN248" s="25"/>
      <c r="AO248" s="25"/>
      <c r="AP248" s="28"/>
      <c r="AQ248" s="25"/>
      <c r="AR248" s="25"/>
      <c r="AS248" s="28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F248" s="25"/>
      <c r="BG248" s="25"/>
      <c r="BH248" s="25"/>
      <c r="BI248" s="25"/>
      <c r="BJ248" s="24"/>
      <c r="BK248" s="24"/>
      <c r="BL248" s="25"/>
      <c r="BM248" s="25"/>
      <c r="BN248" s="25"/>
    </row>
    <row r="249" spans="1:66" ht="13.5" customHeight="1" x14ac:dyDescent="0.2">
      <c r="A249" s="22"/>
      <c r="B249" s="23"/>
      <c r="C249" s="23"/>
      <c r="D249" s="24"/>
      <c r="E249" s="24"/>
      <c r="F249" s="24"/>
      <c r="G249" s="24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7"/>
      <c r="AN249" s="25"/>
      <c r="AO249" s="25"/>
      <c r="AP249" s="28"/>
      <c r="AQ249" s="25"/>
      <c r="AR249" s="25"/>
      <c r="AS249" s="28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F249" s="25"/>
      <c r="BG249" s="25"/>
      <c r="BH249" s="25"/>
      <c r="BI249" s="25"/>
      <c r="BJ249" s="24"/>
      <c r="BK249" s="24"/>
      <c r="BL249" s="25"/>
      <c r="BM249" s="25"/>
      <c r="BN249" s="25"/>
    </row>
    <row r="250" spans="1:66" ht="13.5" customHeight="1" x14ac:dyDescent="0.2">
      <c r="A250" s="22"/>
      <c r="B250" s="23"/>
      <c r="C250" s="23"/>
      <c r="D250" s="24"/>
      <c r="E250" s="24"/>
      <c r="F250" s="24"/>
      <c r="G250" s="24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7"/>
      <c r="AN250" s="25"/>
      <c r="AO250" s="25"/>
      <c r="AP250" s="28"/>
      <c r="AQ250" s="25"/>
      <c r="AR250" s="25"/>
      <c r="AS250" s="28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F250" s="25"/>
      <c r="BG250" s="25"/>
      <c r="BH250" s="25"/>
      <c r="BI250" s="25"/>
      <c r="BJ250" s="24"/>
      <c r="BK250" s="24"/>
      <c r="BL250" s="25"/>
      <c r="BM250" s="25"/>
      <c r="BN250" s="25"/>
    </row>
    <row r="251" spans="1:66" ht="13.5" customHeight="1" x14ac:dyDescent="0.2">
      <c r="A251" s="22"/>
      <c r="B251" s="23"/>
      <c r="C251" s="23"/>
      <c r="D251" s="24"/>
      <c r="E251" s="24"/>
      <c r="F251" s="24"/>
      <c r="G251" s="24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7"/>
      <c r="AN251" s="25"/>
      <c r="AO251" s="25"/>
      <c r="AP251" s="28"/>
      <c r="AQ251" s="25"/>
      <c r="AR251" s="25"/>
      <c r="AS251" s="28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F251" s="25"/>
      <c r="BG251" s="25"/>
      <c r="BH251" s="25"/>
      <c r="BI251" s="25"/>
      <c r="BJ251" s="24"/>
      <c r="BK251" s="24"/>
      <c r="BL251" s="25"/>
      <c r="BM251" s="25"/>
      <c r="BN251" s="25"/>
    </row>
    <row r="252" spans="1:66" ht="13.5" customHeight="1" x14ac:dyDescent="0.2">
      <c r="A252" s="22"/>
      <c r="B252" s="23"/>
      <c r="C252" s="23"/>
      <c r="D252" s="24"/>
      <c r="E252" s="24"/>
      <c r="F252" s="24"/>
      <c r="G252" s="24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7"/>
      <c r="AN252" s="25"/>
      <c r="AO252" s="25"/>
      <c r="AP252" s="28"/>
      <c r="AQ252" s="25"/>
      <c r="AR252" s="25"/>
      <c r="AS252" s="28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F252" s="25"/>
      <c r="BG252" s="25"/>
      <c r="BH252" s="25"/>
      <c r="BI252" s="25"/>
      <c r="BJ252" s="24"/>
      <c r="BK252" s="24"/>
      <c r="BL252" s="25"/>
      <c r="BM252" s="25"/>
      <c r="BN252" s="25"/>
    </row>
    <row r="253" spans="1:66" ht="13.5" customHeight="1" x14ac:dyDescent="0.2">
      <c r="A253" s="22"/>
      <c r="B253" s="23"/>
      <c r="C253" s="23"/>
      <c r="D253" s="24"/>
      <c r="E253" s="24"/>
      <c r="F253" s="24"/>
      <c r="G253" s="24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7"/>
      <c r="AN253" s="25"/>
      <c r="AO253" s="25"/>
      <c r="AP253" s="28"/>
      <c r="AQ253" s="25"/>
      <c r="AR253" s="25"/>
      <c r="AS253" s="28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F253" s="25"/>
      <c r="BG253" s="25"/>
      <c r="BH253" s="25"/>
      <c r="BI253" s="25"/>
      <c r="BJ253" s="24"/>
      <c r="BK253" s="24"/>
      <c r="BL253" s="25"/>
      <c r="BM253" s="25"/>
      <c r="BN253" s="25"/>
    </row>
    <row r="254" spans="1:66" ht="13.5" customHeight="1" x14ac:dyDescent="0.2">
      <c r="A254" s="22"/>
      <c r="B254" s="23"/>
      <c r="C254" s="23"/>
      <c r="D254" s="24"/>
      <c r="E254" s="24"/>
      <c r="F254" s="24"/>
      <c r="G254" s="24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7"/>
      <c r="AN254" s="25"/>
      <c r="AO254" s="25"/>
      <c r="AP254" s="28"/>
      <c r="AQ254" s="25"/>
      <c r="AR254" s="25"/>
      <c r="AS254" s="28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F254" s="25"/>
      <c r="BG254" s="25"/>
      <c r="BH254" s="25"/>
      <c r="BI254" s="25"/>
      <c r="BJ254" s="24"/>
      <c r="BK254" s="24"/>
      <c r="BL254" s="25"/>
      <c r="BM254" s="25"/>
      <c r="BN254" s="25"/>
    </row>
    <row r="255" spans="1:66" ht="13.5" customHeight="1" x14ac:dyDescent="0.2">
      <c r="A255" s="22"/>
      <c r="B255" s="23"/>
      <c r="C255" s="23"/>
      <c r="D255" s="24"/>
      <c r="E255" s="24"/>
      <c r="F255" s="24"/>
      <c r="G255" s="24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7"/>
      <c r="AN255" s="25"/>
      <c r="AO255" s="25"/>
      <c r="AP255" s="28"/>
      <c r="AQ255" s="25"/>
      <c r="AR255" s="25"/>
      <c r="AS255" s="28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F255" s="25"/>
      <c r="BG255" s="25"/>
      <c r="BH255" s="25"/>
      <c r="BI255" s="25"/>
      <c r="BJ255" s="24"/>
      <c r="BK255" s="24"/>
      <c r="BL255" s="25"/>
      <c r="BM255" s="25"/>
      <c r="BN255" s="25"/>
    </row>
    <row r="256" spans="1:66" ht="13.5" customHeight="1" x14ac:dyDescent="0.2">
      <c r="A256" s="22"/>
      <c r="B256" s="23"/>
      <c r="C256" s="23"/>
      <c r="D256" s="24"/>
      <c r="E256" s="24"/>
      <c r="F256" s="24"/>
      <c r="G256" s="24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7"/>
      <c r="AN256" s="25"/>
      <c r="AO256" s="25"/>
      <c r="AP256" s="28"/>
      <c r="AQ256" s="25"/>
      <c r="AR256" s="25"/>
      <c r="AS256" s="28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F256" s="25"/>
      <c r="BG256" s="25"/>
      <c r="BH256" s="25"/>
      <c r="BI256" s="25"/>
      <c r="BJ256" s="24"/>
      <c r="BK256" s="24"/>
      <c r="BL256" s="25"/>
      <c r="BM256" s="25"/>
      <c r="BN256" s="25"/>
    </row>
    <row r="257" spans="1:66" ht="13.5" customHeight="1" x14ac:dyDescent="0.2">
      <c r="A257" s="22"/>
      <c r="B257" s="23"/>
      <c r="C257" s="23"/>
      <c r="D257" s="24"/>
      <c r="E257" s="24"/>
      <c r="F257" s="24"/>
      <c r="G257" s="24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7"/>
      <c r="AN257" s="25"/>
      <c r="AO257" s="25"/>
      <c r="AP257" s="28"/>
      <c r="AQ257" s="25"/>
      <c r="AR257" s="25"/>
      <c r="AS257" s="28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F257" s="25"/>
      <c r="BG257" s="25"/>
      <c r="BH257" s="25"/>
      <c r="BI257" s="25"/>
      <c r="BJ257" s="24"/>
      <c r="BK257" s="24"/>
      <c r="BL257" s="25"/>
      <c r="BM257" s="25"/>
      <c r="BN257" s="25"/>
    </row>
    <row r="258" spans="1:66" ht="13.5" customHeight="1" x14ac:dyDescent="0.2">
      <c r="A258" s="22"/>
      <c r="B258" s="23"/>
      <c r="C258" s="23"/>
      <c r="D258" s="24"/>
      <c r="E258" s="24"/>
      <c r="F258" s="24"/>
      <c r="G258" s="24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7"/>
      <c r="AN258" s="25"/>
      <c r="AO258" s="25"/>
      <c r="AP258" s="28"/>
      <c r="AQ258" s="25"/>
      <c r="AR258" s="25"/>
      <c r="AS258" s="28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F258" s="25"/>
      <c r="BG258" s="25"/>
      <c r="BH258" s="25"/>
      <c r="BI258" s="25"/>
      <c r="BJ258" s="24"/>
      <c r="BK258" s="24"/>
      <c r="BL258" s="25"/>
      <c r="BM258" s="25"/>
      <c r="BN258" s="25"/>
    </row>
    <row r="259" spans="1:66" ht="13.5" customHeight="1" x14ac:dyDescent="0.2">
      <c r="A259" s="22"/>
      <c r="B259" s="23"/>
      <c r="C259" s="23"/>
      <c r="D259" s="24"/>
      <c r="E259" s="24"/>
      <c r="F259" s="24"/>
      <c r="G259" s="24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7"/>
      <c r="AN259" s="25"/>
      <c r="AO259" s="25"/>
      <c r="AP259" s="28"/>
      <c r="AQ259" s="25"/>
      <c r="AR259" s="25"/>
      <c r="AS259" s="28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F259" s="25"/>
      <c r="BG259" s="25"/>
      <c r="BH259" s="25"/>
      <c r="BI259" s="25"/>
      <c r="BJ259" s="24"/>
      <c r="BK259" s="24"/>
      <c r="BL259" s="25"/>
      <c r="BM259" s="25"/>
      <c r="BN259" s="25"/>
    </row>
    <row r="260" spans="1:66" ht="13.5" customHeight="1" x14ac:dyDescent="0.2">
      <c r="A260" s="22"/>
      <c r="B260" s="23"/>
      <c r="C260" s="23"/>
      <c r="D260" s="24"/>
      <c r="E260" s="24"/>
      <c r="F260" s="24"/>
      <c r="G260" s="24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7"/>
      <c r="AN260" s="25"/>
      <c r="AO260" s="25"/>
      <c r="AP260" s="28"/>
      <c r="AQ260" s="25"/>
      <c r="AR260" s="25"/>
      <c r="AS260" s="28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F260" s="25"/>
      <c r="BG260" s="25"/>
      <c r="BH260" s="25"/>
      <c r="BI260" s="25"/>
      <c r="BJ260" s="24"/>
      <c r="BK260" s="24"/>
      <c r="BL260" s="25"/>
      <c r="BM260" s="25"/>
      <c r="BN260" s="25"/>
    </row>
    <row r="261" spans="1:66" ht="13.5" customHeight="1" x14ac:dyDescent="0.2">
      <c r="A261" s="22"/>
      <c r="B261" s="23"/>
      <c r="C261" s="23"/>
      <c r="D261" s="24"/>
      <c r="E261" s="24"/>
      <c r="F261" s="24"/>
      <c r="G261" s="24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7"/>
      <c r="AN261" s="25"/>
      <c r="AO261" s="25"/>
      <c r="AP261" s="28"/>
      <c r="AQ261" s="25"/>
      <c r="AR261" s="25"/>
      <c r="AS261" s="28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F261" s="25"/>
      <c r="BG261" s="25"/>
      <c r="BH261" s="25"/>
      <c r="BI261" s="25"/>
      <c r="BJ261" s="24"/>
      <c r="BK261" s="24"/>
      <c r="BL261" s="25"/>
      <c r="BM261" s="25"/>
      <c r="BN261" s="25"/>
    </row>
    <row r="262" spans="1:66" ht="13.5" customHeight="1" x14ac:dyDescent="0.2">
      <c r="A262" s="22"/>
      <c r="B262" s="23"/>
      <c r="C262" s="23"/>
      <c r="D262" s="24"/>
      <c r="E262" s="24"/>
      <c r="F262" s="24"/>
      <c r="G262" s="24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7"/>
      <c r="AN262" s="25"/>
      <c r="AO262" s="25"/>
      <c r="AP262" s="28"/>
      <c r="AQ262" s="25"/>
      <c r="AR262" s="25"/>
      <c r="AS262" s="28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F262" s="25"/>
      <c r="BG262" s="25"/>
      <c r="BH262" s="25"/>
      <c r="BI262" s="25"/>
      <c r="BJ262" s="24"/>
      <c r="BK262" s="24"/>
      <c r="BL262" s="25"/>
      <c r="BM262" s="25"/>
      <c r="BN262" s="25"/>
    </row>
    <row r="263" spans="1:66" ht="13.5" customHeight="1" x14ac:dyDescent="0.2">
      <c r="A263" s="22"/>
      <c r="B263" s="23"/>
      <c r="C263" s="23"/>
      <c r="D263" s="24"/>
      <c r="E263" s="24"/>
      <c r="F263" s="24"/>
      <c r="G263" s="24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7"/>
      <c r="AN263" s="25"/>
      <c r="AO263" s="25"/>
      <c r="AP263" s="28"/>
      <c r="AQ263" s="25"/>
      <c r="AR263" s="25"/>
      <c r="AS263" s="28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F263" s="25"/>
      <c r="BG263" s="25"/>
      <c r="BH263" s="25"/>
      <c r="BI263" s="25"/>
      <c r="BJ263" s="24"/>
      <c r="BK263" s="24"/>
      <c r="BL263" s="25"/>
      <c r="BM263" s="25"/>
      <c r="BN263" s="25"/>
    </row>
    <row r="264" spans="1:66" ht="13.5" customHeight="1" x14ac:dyDescent="0.2">
      <c r="A264" s="22"/>
      <c r="B264" s="23"/>
      <c r="C264" s="23"/>
      <c r="D264" s="24"/>
      <c r="E264" s="24"/>
      <c r="F264" s="24"/>
      <c r="G264" s="24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7"/>
      <c r="AN264" s="25"/>
      <c r="AO264" s="25"/>
      <c r="AP264" s="28"/>
      <c r="AQ264" s="25"/>
      <c r="AR264" s="25"/>
      <c r="AS264" s="28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F264" s="25"/>
      <c r="BG264" s="25"/>
      <c r="BH264" s="25"/>
      <c r="BI264" s="25"/>
      <c r="BJ264" s="24"/>
      <c r="BK264" s="24"/>
      <c r="BL264" s="25"/>
      <c r="BM264" s="25"/>
      <c r="BN264" s="25"/>
    </row>
    <row r="265" spans="1:66" ht="13.5" customHeight="1" x14ac:dyDescent="0.2">
      <c r="A265" s="22"/>
      <c r="B265" s="23"/>
      <c r="C265" s="23"/>
      <c r="D265" s="24"/>
      <c r="E265" s="24"/>
      <c r="F265" s="24"/>
      <c r="G265" s="24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7"/>
      <c r="AN265" s="25"/>
      <c r="AO265" s="25"/>
      <c r="AP265" s="28"/>
      <c r="AQ265" s="25"/>
      <c r="AR265" s="25"/>
      <c r="AS265" s="28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F265" s="25"/>
      <c r="BG265" s="25"/>
      <c r="BH265" s="25"/>
      <c r="BI265" s="25"/>
      <c r="BJ265" s="24"/>
      <c r="BK265" s="24"/>
      <c r="BL265" s="25"/>
      <c r="BM265" s="25"/>
      <c r="BN265" s="25"/>
    </row>
    <row r="266" spans="1:66" ht="13.5" customHeight="1" x14ac:dyDescent="0.2">
      <c r="A266" s="22"/>
      <c r="B266" s="23"/>
      <c r="C266" s="23"/>
      <c r="D266" s="24"/>
      <c r="E266" s="24"/>
      <c r="F266" s="24"/>
      <c r="G266" s="24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7"/>
      <c r="AN266" s="25"/>
      <c r="AO266" s="25"/>
      <c r="AP266" s="28"/>
      <c r="AQ266" s="25"/>
      <c r="AR266" s="25"/>
      <c r="AS266" s="28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F266" s="25"/>
      <c r="BG266" s="25"/>
      <c r="BH266" s="25"/>
      <c r="BI266" s="25"/>
      <c r="BJ266" s="24"/>
      <c r="BK266" s="24"/>
      <c r="BL266" s="25"/>
      <c r="BM266" s="25"/>
      <c r="BN266" s="25"/>
    </row>
    <row r="267" spans="1:66" ht="13.5" customHeight="1" x14ac:dyDescent="0.2">
      <c r="A267" s="22"/>
      <c r="B267" s="23"/>
      <c r="C267" s="23"/>
      <c r="D267" s="24"/>
      <c r="E267" s="24"/>
      <c r="F267" s="24"/>
      <c r="G267" s="24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7"/>
      <c r="AN267" s="25"/>
      <c r="AO267" s="25"/>
      <c r="AP267" s="28"/>
      <c r="AQ267" s="25"/>
      <c r="AR267" s="25"/>
      <c r="AS267" s="28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F267" s="25"/>
      <c r="BG267" s="25"/>
      <c r="BH267" s="25"/>
      <c r="BI267" s="25"/>
      <c r="BJ267" s="24"/>
      <c r="BK267" s="24"/>
      <c r="BL267" s="25"/>
      <c r="BM267" s="25"/>
      <c r="BN267" s="25"/>
    </row>
    <row r="268" spans="1:66" ht="13.5" customHeight="1" x14ac:dyDescent="0.2">
      <c r="A268" s="22"/>
      <c r="B268" s="23"/>
      <c r="C268" s="23"/>
      <c r="D268" s="24"/>
      <c r="E268" s="24"/>
      <c r="F268" s="24"/>
      <c r="G268" s="24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7"/>
      <c r="AN268" s="25"/>
      <c r="AO268" s="25"/>
      <c r="AP268" s="28"/>
      <c r="AQ268" s="25"/>
      <c r="AR268" s="25"/>
      <c r="AS268" s="28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F268" s="25"/>
      <c r="BG268" s="25"/>
      <c r="BH268" s="25"/>
      <c r="BI268" s="25"/>
      <c r="BJ268" s="24"/>
      <c r="BK268" s="24"/>
      <c r="BL268" s="25"/>
      <c r="BM268" s="25"/>
      <c r="BN268" s="25"/>
    </row>
    <row r="269" spans="1:66" ht="13.5" customHeight="1" x14ac:dyDescent="0.2">
      <c r="A269" s="22"/>
      <c r="B269" s="23"/>
      <c r="C269" s="23"/>
      <c r="D269" s="24"/>
      <c r="E269" s="24"/>
      <c r="F269" s="24"/>
      <c r="G269" s="24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7"/>
      <c r="AN269" s="25"/>
      <c r="AO269" s="25"/>
      <c r="AP269" s="28"/>
      <c r="AQ269" s="25"/>
      <c r="AR269" s="25"/>
      <c r="AS269" s="28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F269" s="25"/>
      <c r="BG269" s="25"/>
      <c r="BH269" s="25"/>
      <c r="BI269" s="25"/>
      <c r="BJ269" s="24"/>
      <c r="BK269" s="24"/>
      <c r="BL269" s="25"/>
      <c r="BM269" s="25"/>
      <c r="BN269" s="25"/>
    </row>
    <row r="270" spans="1:66" ht="13.5" customHeight="1" x14ac:dyDescent="0.2">
      <c r="A270" s="22"/>
      <c r="B270" s="23"/>
      <c r="C270" s="23"/>
      <c r="D270" s="24"/>
      <c r="E270" s="24"/>
      <c r="F270" s="24"/>
      <c r="G270" s="24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7"/>
      <c r="AN270" s="25"/>
      <c r="AO270" s="25"/>
      <c r="AP270" s="28"/>
      <c r="AQ270" s="25"/>
      <c r="AR270" s="25"/>
      <c r="AS270" s="28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F270" s="25"/>
      <c r="BG270" s="25"/>
      <c r="BH270" s="25"/>
      <c r="BI270" s="25"/>
      <c r="BJ270" s="24"/>
      <c r="BK270" s="24"/>
      <c r="BL270" s="25"/>
      <c r="BM270" s="25"/>
      <c r="BN270" s="25"/>
    </row>
    <row r="271" spans="1:66" ht="13.5" customHeight="1" x14ac:dyDescent="0.2">
      <c r="A271" s="22"/>
      <c r="B271" s="23"/>
      <c r="C271" s="23"/>
      <c r="D271" s="24"/>
      <c r="E271" s="24"/>
      <c r="F271" s="24"/>
      <c r="G271" s="24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7"/>
      <c r="AN271" s="25"/>
      <c r="AO271" s="25"/>
      <c r="AP271" s="28"/>
      <c r="AQ271" s="25"/>
      <c r="AR271" s="25"/>
      <c r="AS271" s="28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F271" s="25"/>
      <c r="BG271" s="25"/>
      <c r="BH271" s="25"/>
      <c r="BI271" s="25"/>
      <c r="BJ271" s="24"/>
      <c r="BK271" s="24"/>
      <c r="BL271" s="25"/>
      <c r="BM271" s="25"/>
      <c r="BN271" s="25"/>
    </row>
    <row r="272" spans="1:66" ht="13.5" customHeight="1" x14ac:dyDescent="0.2">
      <c r="A272" s="22"/>
      <c r="B272" s="23"/>
      <c r="C272" s="23"/>
      <c r="D272" s="24"/>
      <c r="E272" s="24"/>
      <c r="F272" s="24"/>
      <c r="G272" s="24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7"/>
      <c r="AN272" s="25"/>
      <c r="AO272" s="25"/>
      <c r="AP272" s="28"/>
      <c r="AQ272" s="25"/>
      <c r="AR272" s="25"/>
      <c r="AS272" s="28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F272" s="25"/>
      <c r="BG272" s="25"/>
      <c r="BH272" s="25"/>
      <c r="BI272" s="25"/>
      <c r="BJ272" s="24"/>
      <c r="BK272" s="24"/>
      <c r="BL272" s="25"/>
      <c r="BM272" s="25"/>
      <c r="BN272" s="25"/>
    </row>
    <row r="273" spans="1:66" ht="13.5" customHeight="1" x14ac:dyDescent="0.2">
      <c r="A273" s="22"/>
      <c r="B273" s="23"/>
      <c r="C273" s="23"/>
      <c r="D273" s="24"/>
      <c r="E273" s="24"/>
      <c r="F273" s="24"/>
      <c r="G273" s="24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7"/>
      <c r="AN273" s="25"/>
      <c r="AO273" s="25"/>
      <c r="AP273" s="28"/>
      <c r="AQ273" s="25"/>
      <c r="AR273" s="25"/>
      <c r="AS273" s="28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F273" s="25"/>
      <c r="BG273" s="25"/>
      <c r="BH273" s="25"/>
      <c r="BI273" s="25"/>
      <c r="BJ273" s="24"/>
      <c r="BK273" s="24"/>
      <c r="BL273" s="25"/>
      <c r="BM273" s="25"/>
      <c r="BN273" s="25"/>
    </row>
    <row r="274" spans="1:66" ht="13.5" customHeight="1" x14ac:dyDescent="0.2">
      <c r="A274" s="22"/>
      <c r="B274" s="23"/>
      <c r="C274" s="23"/>
      <c r="D274" s="24"/>
      <c r="E274" s="24"/>
      <c r="F274" s="24"/>
      <c r="G274" s="24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7"/>
      <c r="AN274" s="25"/>
      <c r="AO274" s="25"/>
      <c r="AP274" s="28"/>
      <c r="AQ274" s="25"/>
      <c r="AR274" s="25"/>
      <c r="AS274" s="28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F274" s="25"/>
      <c r="BG274" s="25"/>
      <c r="BH274" s="25"/>
      <c r="BI274" s="25"/>
      <c r="BJ274" s="24"/>
      <c r="BK274" s="24"/>
      <c r="BL274" s="25"/>
      <c r="BM274" s="25"/>
      <c r="BN274" s="25"/>
    </row>
    <row r="275" spans="1:66" ht="13.5" customHeight="1" x14ac:dyDescent="0.2">
      <c r="A275" s="22"/>
      <c r="B275" s="23"/>
      <c r="C275" s="23"/>
      <c r="D275" s="24"/>
      <c r="E275" s="24"/>
      <c r="F275" s="24"/>
      <c r="G275" s="24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7"/>
      <c r="AN275" s="25"/>
      <c r="AO275" s="25"/>
      <c r="AP275" s="28"/>
      <c r="AQ275" s="25"/>
      <c r="AR275" s="25"/>
      <c r="AS275" s="28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F275" s="25"/>
      <c r="BG275" s="25"/>
      <c r="BH275" s="25"/>
      <c r="BI275" s="25"/>
      <c r="BJ275" s="24"/>
      <c r="BK275" s="24"/>
      <c r="BL275" s="25"/>
      <c r="BM275" s="25"/>
      <c r="BN275" s="25"/>
    </row>
    <row r="276" spans="1:66" ht="13.5" customHeight="1" x14ac:dyDescent="0.2">
      <c r="A276" s="22"/>
      <c r="B276" s="23"/>
      <c r="C276" s="23"/>
      <c r="D276" s="24"/>
      <c r="E276" s="24"/>
      <c r="F276" s="24"/>
      <c r="G276" s="24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7"/>
      <c r="AN276" s="25"/>
      <c r="AO276" s="25"/>
      <c r="AP276" s="28"/>
      <c r="AQ276" s="25"/>
      <c r="AR276" s="25"/>
      <c r="AS276" s="28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F276" s="25"/>
      <c r="BG276" s="25"/>
      <c r="BH276" s="25"/>
      <c r="BI276" s="25"/>
      <c r="BJ276" s="24"/>
      <c r="BK276" s="24"/>
      <c r="BL276" s="25"/>
      <c r="BM276" s="25"/>
      <c r="BN276" s="25"/>
    </row>
    <row r="277" spans="1:66" ht="13.5" customHeight="1" x14ac:dyDescent="0.2">
      <c r="A277" s="22"/>
      <c r="B277" s="23"/>
      <c r="C277" s="23"/>
      <c r="D277" s="24"/>
      <c r="E277" s="24"/>
      <c r="F277" s="24"/>
      <c r="G277" s="24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7"/>
      <c r="AN277" s="25"/>
      <c r="AO277" s="25"/>
      <c r="AP277" s="28"/>
      <c r="AQ277" s="25"/>
      <c r="AR277" s="25"/>
      <c r="AS277" s="28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F277" s="25"/>
      <c r="BG277" s="25"/>
      <c r="BH277" s="25"/>
      <c r="BI277" s="25"/>
      <c r="BJ277" s="24"/>
      <c r="BK277" s="24"/>
      <c r="BL277" s="25"/>
      <c r="BM277" s="25"/>
      <c r="BN277" s="25"/>
    </row>
    <row r="278" spans="1:66" ht="13.5" customHeight="1" x14ac:dyDescent="0.2">
      <c r="A278" s="22"/>
      <c r="B278" s="23"/>
      <c r="C278" s="23"/>
      <c r="D278" s="24"/>
      <c r="E278" s="24"/>
      <c r="F278" s="24"/>
      <c r="G278" s="24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7"/>
      <c r="AN278" s="25"/>
      <c r="AO278" s="25"/>
      <c r="AP278" s="28"/>
      <c r="AQ278" s="25"/>
      <c r="AR278" s="25"/>
      <c r="AS278" s="28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F278" s="25"/>
      <c r="BG278" s="25"/>
      <c r="BH278" s="25"/>
      <c r="BI278" s="25"/>
      <c r="BJ278" s="24"/>
      <c r="BK278" s="24"/>
      <c r="BL278" s="25"/>
      <c r="BM278" s="25"/>
      <c r="BN278" s="25"/>
    </row>
    <row r="279" spans="1:66" ht="13.5" customHeight="1" x14ac:dyDescent="0.2">
      <c r="A279" s="22"/>
      <c r="B279" s="23"/>
      <c r="C279" s="23"/>
      <c r="D279" s="24"/>
      <c r="E279" s="24"/>
      <c r="F279" s="24"/>
      <c r="G279" s="24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7"/>
      <c r="AN279" s="25"/>
      <c r="AO279" s="25"/>
      <c r="AP279" s="28"/>
      <c r="AQ279" s="25"/>
      <c r="AR279" s="25"/>
      <c r="AS279" s="28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F279" s="25"/>
      <c r="BG279" s="25"/>
      <c r="BH279" s="25"/>
      <c r="BI279" s="25"/>
      <c r="BJ279" s="24"/>
      <c r="BK279" s="24"/>
      <c r="BL279" s="25"/>
      <c r="BM279" s="25"/>
      <c r="BN279" s="25"/>
    </row>
    <row r="280" spans="1:66" ht="13.5" customHeight="1" x14ac:dyDescent="0.2">
      <c r="A280" s="22"/>
      <c r="B280" s="23"/>
      <c r="C280" s="23"/>
      <c r="D280" s="24"/>
      <c r="E280" s="24"/>
      <c r="F280" s="24"/>
      <c r="G280" s="24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7"/>
      <c r="AN280" s="25"/>
      <c r="AO280" s="25"/>
      <c r="AP280" s="28"/>
      <c r="AQ280" s="25"/>
      <c r="AR280" s="25"/>
      <c r="AS280" s="28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F280" s="25"/>
      <c r="BG280" s="25"/>
      <c r="BH280" s="25"/>
      <c r="BI280" s="25"/>
      <c r="BJ280" s="24"/>
      <c r="BK280" s="24"/>
      <c r="BL280" s="25"/>
      <c r="BM280" s="25"/>
      <c r="BN280" s="25"/>
    </row>
    <row r="281" spans="1:66" ht="13.5" customHeight="1" x14ac:dyDescent="0.2">
      <c r="A281" s="22"/>
      <c r="B281" s="23"/>
      <c r="C281" s="23"/>
      <c r="D281" s="24"/>
      <c r="E281" s="24"/>
      <c r="F281" s="24"/>
      <c r="G281" s="24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7"/>
      <c r="AN281" s="25"/>
      <c r="AO281" s="25"/>
      <c r="AP281" s="28"/>
      <c r="AQ281" s="25"/>
      <c r="AR281" s="25"/>
      <c r="AS281" s="28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F281" s="25"/>
      <c r="BG281" s="25"/>
      <c r="BH281" s="25"/>
      <c r="BI281" s="25"/>
      <c r="BJ281" s="24"/>
      <c r="BK281" s="24"/>
      <c r="BL281" s="25"/>
      <c r="BM281" s="25"/>
      <c r="BN281" s="25"/>
    </row>
    <row r="282" spans="1:66" ht="13.5" customHeight="1" x14ac:dyDescent="0.2">
      <c r="A282" s="22"/>
      <c r="B282" s="23"/>
      <c r="C282" s="23"/>
      <c r="D282" s="24"/>
      <c r="E282" s="24"/>
      <c r="F282" s="24"/>
      <c r="G282" s="24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7"/>
      <c r="AN282" s="25"/>
      <c r="AO282" s="25"/>
      <c r="AP282" s="28"/>
      <c r="AQ282" s="25"/>
      <c r="AR282" s="25"/>
      <c r="AS282" s="28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F282" s="25"/>
      <c r="BG282" s="25"/>
      <c r="BH282" s="25"/>
      <c r="BI282" s="25"/>
      <c r="BJ282" s="24"/>
      <c r="BK282" s="24"/>
      <c r="BL282" s="25"/>
      <c r="BM282" s="25"/>
      <c r="BN282" s="25"/>
    </row>
    <row r="283" spans="1:66" ht="13.5" customHeight="1" x14ac:dyDescent="0.2">
      <c r="A283" s="22"/>
      <c r="B283" s="23"/>
      <c r="C283" s="23"/>
      <c r="D283" s="24"/>
      <c r="E283" s="24"/>
      <c r="F283" s="24"/>
      <c r="G283" s="24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7"/>
      <c r="AN283" s="25"/>
      <c r="AO283" s="25"/>
      <c r="AP283" s="28"/>
      <c r="AQ283" s="25"/>
      <c r="AR283" s="25"/>
      <c r="AS283" s="28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F283" s="25"/>
      <c r="BG283" s="25"/>
      <c r="BH283" s="25"/>
      <c r="BI283" s="25"/>
      <c r="BJ283" s="24"/>
      <c r="BK283" s="24"/>
      <c r="BL283" s="25"/>
      <c r="BM283" s="25"/>
      <c r="BN283" s="25"/>
    </row>
    <row r="284" spans="1:66" ht="13.5" customHeight="1" x14ac:dyDescent="0.2">
      <c r="A284" s="22"/>
      <c r="B284" s="23"/>
      <c r="C284" s="23"/>
      <c r="D284" s="24"/>
      <c r="E284" s="24"/>
      <c r="F284" s="24"/>
      <c r="G284" s="24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7"/>
      <c r="AN284" s="25"/>
      <c r="AO284" s="25"/>
      <c r="AP284" s="28"/>
      <c r="AQ284" s="25"/>
      <c r="AR284" s="25"/>
      <c r="AS284" s="28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F284" s="25"/>
      <c r="BG284" s="25"/>
      <c r="BH284" s="25"/>
      <c r="BI284" s="25"/>
      <c r="BJ284" s="24"/>
      <c r="BK284" s="24"/>
      <c r="BL284" s="25"/>
      <c r="BM284" s="25"/>
      <c r="BN284" s="25"/>
    </row>
    <row r="285" spans="1:66" ht="13.5" customHeight="1" x14ac:dyDescent="0.2">
      <c r="A285" s="22"/>
      <c r="B285" s="23"/>
      <c r="C285" s="23"/>
      <c r="D285" s="24"/>
      <c r="E285" s="24"/>
      <c r="F285" s="24"/>
      <c r="G285" s="24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7"/>
      <c r="AN285" s="25"/>
      <c r="AO285" s="25"/>
      <c r="AP285" s="28"/>
      <c r="AQ285" s="25"/>
      <c r="AR285" s="25"/>
      <c r="AS285" s="28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F285" s="25"/>
      <c r="BG285" s="25"/>
      <c r="BH285" s="25"/>
      <c r="BI285" s="25"/>
      <c r="BJ285" s="24"/>
      <c r="BK285" s="24"/>
      <c r="BL285" s="25"/>
      <c r="BM285" s="25"/>
      <c r="BN285" s="25"/>
    </row>
    <row r="286" spans="1:66" ht="13.5" customHeight="1" x14ac:dyDescent="0.2">
      <c r="A286" s="22"/>
      <c r="B286" s="23"/>
      <c r="C286" s="23"/>
      <c r="D286" s="24"/>
      <c r="E286" s="24"/>
      <c r="F286" s="24"/>
      <c r="G286" s="24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7"/>
      <c r="AN286" s="25"/>
      <c r="AO286" s="25"/>
      <c r="AP286" s="28"/>
      <c r="AQ286" s="25"/>
      <c r="AR286" s="25"/>
      <c r="AS286" s="28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F286" s="25"/>
      <c r="BG286" s="25"/>
      <c r="BH286" s="25"/>
      <c r="BI286" s="25"/>
      <c r="BJ286" s="24"/>
      <c r="BK286" s="24"/>
      <c r="BL286" s="25"/>
      <c r="BM286" s="25"/>
      <c r="BN286" s="25"/>
    </row>
    <row r="287" spans="1:66" ht="13.5" customHeight="1" x14ac:dyDescent="0.2">
      <c r="A287" s="22"/>
      <c r="B287" s="23"/>
      <c r="C287" s="23"/>
      <c r="D287" s="24"/>
      <c r="E287" s="24"/>
      <c r="F287" s="24"/>
      <c r="G287" s="24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7"/>
      <c r="AN287" s="25"/>
      <c r="AO287" s="25"/>
      <c r="AP287" s="28"/>
      <c r="AQ287" s="25"/>
      <c r="AR287" s="25"/>
      <c r="AS287" s="28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F287" s="25"/>
      <c r="BG287" s="25"/>
      <c r="BH287" s="25"/>
      <c r="BI287" s="25"/>
      <c r="BJ287" s="24"/>
      <c r="BK287" s="24"/>
      <c r="BL287" s="25"/>
      <c r="BM287" s="25"/>
      <c r="BN287" s="25"/>
    </row>
    <row r="288" spans="1:66" ht="13.5" customHeight="1" x14ac:dyDescent="0.2">
      <c r="A288" s="22"/>
      <c r="B288" s="23"/>
      <c r="C288" s="23"/>
      <c r="D288" s="24"/>
      <c r="E288" s="24"/>
      <c r="F288" s="24"/>
      <c r="G288" s="24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7"/>
      <c r="AN288" s="25"/>
      <c r="AO288" s="25"/>
      <c r="AP288" s="28"/>
      <c r="AQ288" s="25"/>
      <c r="AR288" s="25"/>
      <c r="AS288" s="28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F288" s="25"/>
      <c r="BG288" s="25"/>
      <c r="BH288" s="25"/>
      <c r="BI288" s="25"/>
      <c r="BJ288" s="24"/>
      <c r="BK288" s="24"/>
      <c r="BL288" s="25"/>
      <c r="BM288" s="25"/>
      <c r="BN288" s="25"/>
    </row>
    <row r="289" spans="1:66" ht="13.5" customHeight="1" x14ac:dyDescent="0.2">
      <c r="A289" s="22"/>
      <c r="B289" s="23"/>
      <c r="C289" s="23"/>
      <c r="D289" s="24"/>
      <c r="E289" s="24"/>
      <c r="F289" s="24"/>
      <c r="G289" s="24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7"/>
      <c r="AN289" s="25"/>
      <c r="AO289" s="25"/>
      <c r="AP289" s="28"/>
      <c r="AQ289" s="25"/>
      <c r="AR289" s="25"/>
      <c r="AS289" s="28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F289" s="25"/>
      <c r="BG289" s="25"/>
      <c r="BH289" s="25"/>
      <c r="BI289" s="25"/>
      <c r="BJ289" s="24"/>
      <c r="BK289" s="24"/>
      <c r="BL289" s="25"/>
      <c r="BM289" s="25"/>
      <c r="BN289" s="25"/>
    </row>
    <row r="290" spans="1:66" ht="13.5" customHeight="1" x14ac:dyDescent="0.2">
      <c r="A290" s="22"/>
      <c r="B290" s="23"/>
      <c r="C290" s="23"/>
      <c r="D290" s="24"/>
      <c r="E290" s="24"/>
      <c r="F290" s="24"/>
      <c r="G290" s="24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7"/>
      <c r="AN290" s="25"/>
      <c r="AO290" s="25"/>
      <c r="AP290" s="28"/>
      <c r="AQ290" s="25"/>
      <c r="AR290" s="25"/>
      <c r="AS290" s="28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F290" s="25"/>
      <c r="BG290" s="25"/>
      <c r="BH290" s="25"/>
      <c r="BI290" s="25"/>
      <c r="BJ290" s="24"/>
      <c r="BK290" s="24"/>
      <c r="BL290" s="25"/>
      <c r="BM290" s="25"/>
      <c r="BN290" s="25"/>
    </row>
    <row r="291" spans="1:66" ht="13.5" customHeight="1" x14ac:dyDescent="0.2">
      <c r="A291" s="22"/>
      <c r="B291" s="23"/>
      <c r="C291" s="23"/>
      <c r="D291" s="24"/>
      <c r="E291" s="24"/>
      <c r="F291" s="24"/>
      <c r="G291" s="24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7"/>
      <c r="AN291" s="25"/>
      <c r="AO291" s="25"/>
      <c r="AP291" s="28"/>
      <c r="AQ291" s="25"/>
      <c r="AR291" s="25"/>
      <c r="AS291" s="28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F291" s="25"/>
      <c r="BG291" s="25"/>
      <c r="BH291" s="25"/>
      <c r="BI291" s="25"/>
      <c r="BJ291" s="24"/>
      <c r="BK291" s="24"/>
      <c r="BL291" s="25"/>
      <c r="BM291" s="25"/>
      <c r="BN291" s="25"/>
    </row>
    <row r="292" spans="1:66" ht="13.5" customHeight="1" x14ac:dyDescent="0.2">
      <c r="A292" s="22"/>
      <c r="B292" s="23"/>
      <c r="C292" s="23"/>
      <c r="D292" s="24"/>
      <c r="E292" s="24"/>
      <c r="F292" s="24"/>
      <c r="G292" s="24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7"/>
      <c r="AN292" s="25"/>
      <c r="AO292" s="25"/>
      <c r="AP292" s="28"/>
      <c r="AQ292" s="25"/>
      <c r="AR292" s="25"/>
      <c r="AS292" s="28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F292" s="25"/>
      <c r="BG292" s="25"/>
      <c r="BH292" s="25"/>
      <c r="BI292" s="25"/>
      <c r="BJ292" s="24"/>
      <c r="BK292" s="24"/>
      <c r="BL292" s="25"/>
      <c r="BM292" s="25"/>
      <c r="BN292" s="25"/>
    </row>
    <row r="293" spans="1:66" ht="13.5" customHeight="1" x14ac:dyDescent="0.2">
      <c r="A293" s="22"/>
      <c r="B293" s="23"/>
      <c r="C293" s="23"/>
      <c r="D293" s="24"/>
      <c r="E293" s="24"/>
      <c r="F293" s="24"/>
      <c r="G293" s="24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7"/>
      <c r="AN293" s="25"/>
      <c r="AO293" s="25"/>
      <c r="AP293" s="28"/>
      <c r="AQ293" s="25"/>
      <c r="AR293" s="25"/>
      <c r="AS293" s="28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F293" s="25"/>
      <c r="BG293" s="25"/>
      <c r="BH293" s="25"/>
      <c r="BI293" s="25"/>
      <c r="BJ293" s="24"/>
      <c r="BK293" s="24"/>
      <c r="BL293" s="25"/>
      <c r="BM293" s="25"/>
      <c r="BN293" s="25"/>
    </row>
    <row r="294" spans="1:66" ht="13.5" customHeight="1" x14ac:dyDescent="0.2">
      <c r="A294" s="22"/>
      <c r="B294" s="23"/>
      <c r="C294" s="23"/>
      <c r="D294" s="24"/>
      <c r="E294" s="24"/>
      <c r="F294" s="24"/>
      <c r="G294" s="24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7"/>
      <c r="AN294" s="25"/>
      <c r="AO294" s="25"/>
      <c r="AP294" s="28"/>
      <c r="AQ294" s="25"/>
      <c r="AR294" s="25"/>
      <c r="AS294" s="28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F294" s="25"/>
      <c r="BG294" s="25"/>
      <c r="BH294" s="25"/>
      <c r="BI294" s="25"/>
      <c r="BJ294" s="24"/>
      <c r="BK294" s="24"/>
      <c r="BL294" s="25"/>
      <c r="BM294" s="25"/>
      <c r="BN294" s="25"/>
    </row>
    <row r="295" spans="1:66" ht="13.5" customHeight="1" x14ac:dyDescent="0.2">
      <c r="A295" s="22"/>
      <c r="B295" s="23"/>
      <c r="C295" s="23"/>
      <c r="D295" s="24"/>
      <c r="E295" s="24"/>
      <c r="F295" s="24"/>
      <c r="G295" s="24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7"/>
      <c r="AN295" s="25"/>
      <c r="AO295" s="25"/>
      <c r="AP295" s="28"/>
      <c r="AQ295" s="25"/>
      <c r="AR295" s="25"/>
      <c r="AS295" s="28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F295" s="25"/>
      <c r="BG295" s="25"/>
      <c r="BH295" s="25"/>
      <c r="BI295" s="25"/>
      <c r="BJ295" s="24"/>
      <c r="BK295" s="24"/>
      <c r="BL295" s="25"/>
      <c r="BM295" s="25"/>
      <c r="BN295" s="25"/>
    </row>
    <row r="296" spans="1:66" ht="13.5" customHeight="1" x14ac:dyDescent="0.2">
      <c r="A296" s="22"/>
      <c r="B296" s="23"/>
      <c r="C296" s="23"/>
      <c r="D296" s="24"/>
      <c r="E296" s="24"/>
      <c r="F296" s="24"/>
      <c r="G296" s="24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7"/>
      <c r="AN296" s="25"/>
      <c r="AO296" s="25"/>
      <c r="AP296" s="28"/>
      <c r="AQ296" s="25"/>
      <c r="AR296" s="25"/>
      <c r="AS296" s="28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F296" s="25"/>
      <c r="BG296" s="25"/>
      <c r="BH296" s="25"/>
      <c r="BI296" s="25"/>
      <c r="BJ296" s="24"/>
      <c r="BK296" s="24"/>
      <c r="BL296" s="25"/>
      <c r="BM296" s="25"/>
      <c r="BN296" s="25"/>
    </row>
    <row r="297" spans="1:66" ht="13.5" customHeight="1" x14ac:dyDescent="0.2">
      <c r="A297" s="22"/>
      <c r="B297" s="23"/>
      <c r="C297" s="23"/>
      <c r="D297" s="24"/>
      <c r="E297" s="24"/>
      <c r="F297" s="24"/>
      <c r="G297" s="24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7"/>
      <c r="AN297" s="25"/>
      <c r="AO297" s="25"/>
      <c r="AP297" s="28"/>
      <c r="AQ297" s="25"/>
      <c r="AR297" s="25"/>
      <c r="AS297" s="28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F297" s="25"/>
      <c r="BG297" s="25"/>
      <c r="BH297" s="25"/>
      <c r="BI297" s="25"/>
      <c r="BJ297" s="24"/>
      <c r="BK297" s="24"/>
      <c r="BL297" s="25"/>
      <c r="BM297" s="25"/>
      <c r="BN297" s="25"/>
    </row>
    <row r="298" spans="1:66" ht="13.5" customHeight="1" x14ac:dyDescent="0.2">
      <c r="A298" s="22"/>
      <c r="B298" s="23"/>
      <c r="C298" s="23"/>
      <c r="D298" s="24"/>
      <c r="E298" s="24"/>
      <c r="F298" s="24"/>
      <c r="G298" s="24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7"/>
      <c r="AN298" s="25"/>
      <c r="AO298" s="25"/>
      <c r="AP298" s="28"/>
      <c r="AQ298" s="25"/>
      <c r="AR298" s="25"/>
      <c r="AS298" s="28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F298" s="25"/>
      <c r="BG298" s="25"/>
      <c r="BH298" s="25"/>
      <c r="BI298" s="25"/>
      <c r="BJ298" s="24"/>
      <c r="BK298" s="24"/>
      <c r="BL298" s="25"/>
      <c r="BM298" s="25"/>
      <c r="BN298" s="25"/>
    </row>
    <row r="299" spans="1:66" ht="13.5" customHeight="1" x14ac:dyDescent="0.2">
      <c r="A299" s="22"/>
      <c r="B299" s="23"/>
      <c r="C299" s="23"/>
      <c r="D299" s="24"/>
      <c r="E299" s="24"/>
      <c r="F299" s="24"/>
      <c r="G299" s="24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7"/>
      <c r="AN299" s="25"/>
      <c r="AO299" s="25"/>
      <c r="AP299" s="28"/>
      <c r="AQ299" s="25"/>
      <c r="AR299" s="25"/>
      <c r="AS299" s="28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F299" s="25"/>
      <c r="BG299" s="25"/>
      <c r="BH299" s="25"/>
      <c r="BI299" s="25"/>
      <c r="BJ299" s="24"/>
      <c r="BK299" s="24"/>
      <c r="BL299" s="25"/>
      <c r="BM299" s="25"/>
      <c r="BN299" s="25"/>
    </row>
    <row r="300" spans="1:66" ht="13.5" customHeight="1" x14ac:dyDescent="0.2">
      <c r="A300" s="22"/>
      <c r="B300" s="23"/>
      <c r="C300" s="23"/>
      <c r="D300" s="24"/>
      <c r="E300" s="24"/>
      <c r="F300" s="24"/>
      <c r="G300" s="24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7"/>
      <c r="AN300" s="25"/>
      <c r="AO300" s="25"/>
      <c r="AP300" s="28"/>
      <c r="AQ300" s="25"/>
      <c r="AR300" s="25"/>
      <c r="AS300" s="28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F300" s="25"/>
      <c r="BG300" s="25"/>
      <c r="BH300" s="25"/>
      <c r="BI300" s="25"/>
      <c r="BJ300" s="24"/>
      <c r="BK300" s="24"/>
      <c r="BL300" s="25"/>
      <c r="BM300" s="25"/>
      <c r="BN300" s="25"/>
    </row>
    <row r="301" spans="1:66" ht="13.5" customHeight="1" x14ac:dyDescent="0.2">
      <c r="A301" s="22"/>
      <c r="B301" s="23"/>
      <c r="C301" s="23"/>
      <c r="D301" s="24"/>
      <c r="E301" s="24"/>
      <c r="F301" s="24"/>
      <c r="G301" s="24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7"/>
      <c r="AN301" s="25"/>
      <c r="AO301" s="25"/>
      <c r="AP301" s="28"/>
      <c r="AQ301" s="25"/>
      <c r="AR301" s="25"/>
      <c r="AS301" s="28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F301" s="25"/>
      <c r="BG301" s="25"/>
      <c r="BH301" s="25"/>
      <c r="BI301" s="25"/>
      <c r="BJ301" s="24"/>
      <c r="BK301" s="24"/>
      <c r="BL301" s="25"/>
      <c r="BM301" s="25"/>
      <c r="BN301" s="25"/>
    </row>
    <row r="302" spans="1:66" ht="13.5" customHeight="1" x14ac:dyDescent="0.2">
      <c r="A302" s="22"/>
      <c r="B302" s="23"/>
      <c r="C302" s="23"/>
      <c r="D302" s="24"/>
      <c r="E302" s="24"/>
      <c r="F302" s="24"/>
      <c r="G302" s="24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7"/>
      <c r="AN302" s="25"/>
      <c r="AO302" s="25"/>
      <c r="AP302" s="28"/>
      <c r="AQ302" s="25"/>
      <c r="AR302" s="25"/>
      <c r="AS302" s="28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F302" s="25"/>
      <c r="BG302" s="25"/>
      <c r="BH302" s="25"/>
      <c r="BI302" s="25"/>
      <c r="BJ302" s="24"/>
      <c r="BK302" s="24"/>
      <c r="BL302" s="25"/>
      <c r="BM302" s="25"/>
      <c r="BN302" s="25"/>
    </row>
    <row r="303" spans="1:66" ht="13.5" customHeight="1" x14ac:dyDescent="0.2">
      <c r="A303" s="22"/>
      <c r="B303" s="23"/>
      <c r="C303" s="23"/>
      <c r="D303" s="24"/>
      <c r="E303" s="24"/>
      <c r="F303" s="24"/>
      <c r="G303" s="24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7"/>
      <c r="AN303" s="25"/>
      <c r="AO303" s="25"/>
      <c r="AP303" s="28"/>
      <c r="AQ303" s="25"/>
      <c r="AR303" s="25"/>
      <c r="AS303" s="28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F303" s="25"/>
      <c r="BG303" s="25"/>
      <c r="BH303" s="25"/>
      <c r="BI303" s="25"/>
      <c r="BJ303" s="24"/>
      <c r="BK303" s="24"/>
      <c r="BL303" s="25"/>
      <c r="BM303" s="25"/>
      <c r="BN303" s="25"/>
    </row>
    <row r="304" spans="1:66" ht="13.5" customHeight="1" x14ac:dyDescent="0.2">
      <c r="A304" s="22"/>
      <c r="B304" s="23"/>
      <c r="C304" s="23"/>
      <c r="D304" s="24"/>
      <c r="E304" s="24"/>
      <c r="F304" s="24"/>
      <c r="G304" s="24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7"/>
      <c r="AN304" s="25"/>
      <c r="AO304" s="25"/>
      <c r="AP304" s="28"/>
      <c r="AQ304" s="25"/>
      <c r="AR304" s="25"/>
      <c r="AS304" s="28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F304" s="25"/>
      <c r="BG304" s="25"/>
      <c r="BH304" s="25"/>
      <c r="BI304" s="25"/>
      <c r="BJ304" s="24"/>
      <c r="BK304" s="24"/>
      <c r="BL304" s="25"/>
      <c r="BM304" s="25"/>
      <c r="BN304" s="25"/>
    </row>
    <row r="305" spans="1:66" ht="13.5" customHeight="1" x14ac:dyDescent="0.2">
      <c r="A305" s="22"/>
      <c r="B305" s="23"/>
      <c r="C305" s="23"/>
      <c r="D305" s="24"/>
      <c r="E305" s="24"/>
      <c r="F305" s="24"/>
      <c r="G305" s="24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7"/>
      <c r="AN305" s="25"/>
      <c r="AO305" s="25"/>
      <c r="AP305" s="28"/>
      <c r="AQ305" s="25"/>
      <c r="AR305" s="25"/>
      <c r="AS305" s="28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F305" s="25"/>
      <c r="BG305" s="25"/>
      <c r="BH305" s="25"/>
      <c r="BI305" s="25"/>
      <c r="BJ305" s="24"/>
      <c r="BK305" s="24"/>
      <c r="BL305" s="25"/>
      <c r="BM305" s="25"/>
      <c r="BN305" s="25"/>
    </row>
    <row r="306" spans="1:66" ht="13.5" customHeight="1" x14ac:dyDescent="0.2">
      <c r="A306" s="22"/>
      <c r="B306" s="23"/>
      <c r="C306" s="23"/>
      <c r="D306" s="24"/>
      <c r="E306" s="24"/>
      <c r="F306" s="24"/>
      <c r="G306" s="24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7"/>
      <c r="AN306" s="25"/>
      <c r="AO306" s="25"/>
      <c r="AP306" s="28"/>
      <c r="AQ306" s="25"/>
      <c r="AR306" s="25"/>
      <c r="AS306" s="28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F306" s="25"/>
      <c r="BG306" s="25"/>
      <c r="BH306" s="25"/>
      <c r="BI306" s="25"/>
      <c r="BJ306" s="24"/>
      <c r="BK306" s="24"/>
      <c r="BL306" s="25"/>
      <c r="BM306" s="25"/>
      <c r="BN306" s="25"/>
    </row>
    <row r="307" spans="1:66" ht="13.5" customHeight="1" x14ac:dyDescent="0.2">
      <c r="A307" s="22"/>
      <c r="B307" s="23"/>
      <c r="C307" s="23"/>
      <c r="D307" s="24"/>
      <c r="E307" s="24"/>
      <c r="F307" s="24"/>
      <c r="G307" s="24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7"/>
      <c r="AN307" s="25"/>
      <c r="AO307" s="25"/>
      <c r="AP307" s="28"/>
      <c r="AQ307" s="25"/>
      <c r="AR307" s="25"/>
      <c r="AS307" s="28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F307" s="25"/>
      <c r="BG307" s="25"/>
      <c r="BH307" s="25"/>
      <c r="BI307" s="25"/>
      <c r="BJ307" s="24"/>
      <c r="BK307" s="24"/>
      <c r="BL307" s="25"/>
      <c r="BM307" s="25"/>
      <c r="BN307" s="25"/>
    </row>
    <row r="308" spans="1:66" ht="13.5" customHeight="1" x14ac:dyDescent="0.2">
      <c r="A308" s="22"/>
      <c r="B308" s="23"/>
      <c r="C308" s="23"/>
      <c r="D308" s="24"/>
      <c r="E308" s="24"/>
      <c r="F308" s="24"/>
      <c r="G308" s="24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7"/>
      <c r="AN308" s="25"/>
      <c r="AO308" s="25"/>
      <c r="AP308" s="28"/>
      <c r="AQ308" s="25"/>
      <c r="AR308" s="25"/>
      <c r="AS308" s="28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F308" s="25"/>
      <c r="BG308" s="25"/>
      <c r="BH308" s="25"/>
      <c r="BI308" s="25"/>
      <c r="BJ308" s="24"/>
      <c r="BK308" s="24"/>
      <c r="BL308" s="25"/>
      <c r="BM308" s="25"/>
      <c r="BN308" s="25"/>
    </row>
    <row r="309" spans="1:66" ht="13.5" customHeight="1" x14ac:dyDescent="0.2">
      <c r="A309" s="22"/>
      <c r="B309" s="23"/>
      <c r="C309" s="23"/>
      <c r="D309" s="24"/>
      <c r="E309" s="24"/>
      <c r="F309" s="24"/>
      <c r="G309" s="24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7"/>
      <c r="AN309" s="25"/>
      <c r="AO309" s="25"/>
      <c r="AP309" s="28"/>
      <c r="AQ309" s="25"/>
      <c r="AR309" s="25"/>
      <c r="AS309" s="28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F309" s="25"/>
      <c r="BG309" s="25"/>
      <c r="BH309" s="25"/>
      <c r="BI309" s="25"/>
      <c r="BJ309" s="24"/>
      <c r="BK309" s="24"/>
      <c r="BL309" s="25"/>
      <c r="BM309" s="25"/>
      <c r="BN309" s="25"/>
    </row>
    <row r="310" spans="1:66" ht="13.5" customHeight="1" x14ac:dyDescent="0.2">
      <c r="A310" s="22"/>
      <c r="B310" s="23"/>
      <c r="C310" s="23"/>
      <c r="D310" s="24"/>
      <c r="E310" s="24"/>
      <c r="F310" s="24"/>
      <c r="G310" s="24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7"/>
      <c r="AN310" s="25"/>
      <c r="AO310" s="25"/>
      <c r="AP310" s="28"/>
      <c r="AQ310" s="25"/>
      <c r="AR310" s="25"/>
      <c r="AS310" s="28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F310" s="25"/>
      <c r="BG310" s="25"/>
      <c r="BH310" s="25"/>
      <c r="BI310" s="25"/>
      <c r="BJ310" s="24"/>
      <c r="BK310" s="24"/>
      <c r="BL310" s="25"/>
      <c r="BM310" s="25"/>
      <c r="BN310" s="25"/>
    </row>
    <row r="311" spans="1:66" ht="13.5" customHeight="1" x14ac:dyDescent="0.2">
      <c r="A311" s="22"/>
      <c r="B311" s="23"/>
      <c r="C311" s="23"/>
      <c r="D311" s="24"/>
      <c r="E311" s="24"/>
      <c r="F311" s="24"/>
      <c r="G311" s="24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7"/>
      <c r="AN311" s="25"/>
      <c r="AO311" s="25"/>
      <c r="AP311" s="28"/>
      <c r="AQ311" s="25"/>
      <c r="AR311" s="25"/>
      <c r="AS311" s="28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F311" s="25"/>
      <c r="BG311" s="25"/>
      <c r="BH311" s="25"/>
      <c r="BI311" s="25"/>
      <c r="BJ311" s="24"/>
      <c r="BK311" s="24"/>
      <c r="BL311" s="25"/>
      <c r="BM311" s="25"/>
      <c r="BN311" s="25"/>
    </row>
    <row r="312" spans="1:66" ht="13.5" customHeight="1" x14ac:dyDescent="0.2">
      <c r="A312" s="22"/>
      <c r="B312" s="23"/>
      <c r="C312" s="23"/>
      <c r="D312" s="24"/>
      <c r="E312" s="24"/>
      <c r="F312" s="24"/>
      <c r="G312" s="24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7"/>
      <c r="AN312" s="25"/>
      <c r="AO312" s="25"/>
      <c r="AP312" s="28"/>
      <c r="AQ312" s="25"/>
      <c r="AR312" s="25"/>
      <c r="AS312" s="28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F312" s="25"/>
      <c r="BG312" s="25"/>
      <c r="BH312" s="25"/>
      <c r="BI312" s="25"/>
      <c r="BJ312" s="24"/>
      <c r="BK312" s="24"/>
      <c r="BL312" s="25"/>
      <c r="BM312" s="25"/>
      <c r="BN312" s="25"/>
    </row>
    <row r="313" spans="1:66" ht="13.5" customHeight="1" x14ac:dyDescent="0.2">
      <c r="A313" s="22"/>
      <c r="B313" s="23"/>
      <c r="C313" s="23"/>
      <c r="D313" s="24"/>
      <c r="E313" s="24"/>
      <c r="F313" s="24"/>
      <c r="G313" s="24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7"/>
      <c r="AN313" s="25"/>
      <c r="AO313" s="25"/>
      <c r="AP313" s="28"/>
      <c r="AQ313" s="25"/>
      <c r="AR313" s="25"/>
      <c r="AS313" s="28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F313" s="25"/>
      <c r="BG313" s="25"/>
      <c r="BH313" s="25"/>
      <c r="BI313" s="25"/>
      <c r="BJ313" s="24"/>
      <c r="BK313" s="24"/>
      <c r="BL313" s="25"/>
      <c r="BM313" s="25"/>
      <c r="BN313" s="25"/>
    </row>
    <row r="314" spans="1:66" ht="13.5" customHeight="1" x14ac:dyDescent="0.2">
      <c r="A314" s="22"/>
      <c r="B314" s="23"/>
      <c r="C314" s="23"/>
      <c r="D314" s="24"/>
      <c r="E314" s="24"/>
      <c r="F314" s="24"/>
      <c r="G314" s="24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7"/>
      <c r="AN314" s="25"/>
      <c r="AO314" s="25"/>
      <c r="AP314" s="28"/>
      <c r="AQ314" s="25"/>
      <c r="AR314" s="25"/>
      <c r="AS314" s="28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F314" s="25"/>
      <c r="BG314" s="25"/>
      <c r="BH314" s="25"/>
      <c r="BI314" s="25"/>
      <c r="BJ314" s="24"/>
      <c r="BK314" s="24"/>
      <c r="BL314" s="25"/>
      <c r="BM314" s="25"/>
      <c r="BN314" s="25"/>
    </row>
    <row r="315" spans="1:66" ht="13.5" customHeight="1" x14ac:dyDescent="0.2">
      <c r="A315" s="22"/>
      <c r="B315" s="23"/>
      <c r="C315" s="23"/>
      <c r="D315" s="24"/>
      <c r="E315" s="24"/>
      <c r="F315" s="24"/>
      <c r="G315" s="24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7"/>
      <c r="AN315" s="25"/>
      <c r="AO315" s="25"/>
      <c r="AP315" s="28"/>
      <c r="AQ315" s="25"/>
      <c r="AR315" s="25"/>
      <c r="AS315" s="28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F315" s="25"/>
      <c r="BG315" s="25"/>
      <c r="BH315" s="25"/>
      <c r="BI315" s="25"/>
      <c r="BJ315" s="24"/>
      <c r="BK315" s="24"/>
      <c r="BL315" s="25"/>
      <c r="BM315" s="25"/>
      <c r="BN315" s="25"/>
    </row>
    <row r="316" spans="1:66" ht="13.5" customHeight="1" x14ac:dyDescent="0.2">
      <c r="A316" s="22"/>
      <c r="B316" s="23"/>
      <c r="C316" s="23"/>
      <c r="D316" s="24"/>
      <c r="E316" s="24"/>
      <c r="F316" s="24"/>
      <c r="G316" s="24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7"/>
      <c r="AN316" s="25"/>
      <c r="AO316" s="25"/>
      <c r="AP316" s="28"/>
      <c r="AQ316" s="25"/>
      <c r="AR316" s="25"/>
      <c r="AS316" s="28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F316" s="25"/>
      <c r="BG316" s="25"/>
      <c r="BH316" s="25"/>
      <c r="BI316" s="25"/>
      <c r="BJ316" s="24"/>
      <c r="BK316" s="24"/>
      <c r="BL316" s="25"/>
      <c r="BM316" s="25"/>
      <c r="BN316" s="25"/>
    </row>
    <row r="317" spans="1:66" ht="13.5" customHeight="1" x14ac:dyDescent="0.2">
      <c r="A317" s="22"/>
      <c r="B317" s="23"/>
      <c r="C317" s="23"/>
      <c r="D317" s="24"/>
      <c r="E317" s="24"/>
      <c r="F317" s="24"/>
      <c r="G317" s="24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7"/>
      <c r="AN317" s="25"/>
      <c r="AO317" s="25"/>
      <c r="AP317" s="28"/>
      <c r="AQ317" s="25"/>
      <c r="AR317" s="25"/>
      <c r="AS317" s="28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F317" s="25"/>
      <c r="BG317" s="25"/>
      <c r="BH317" s="25"/>
      <c r="BI317" s="25"/>
      <c r="BJ317" s="24"/>
      <c r="BK317" s="24"/>
      <c r="BL317" s="25"/>
      <c r="BM317" s="25"/>
      <c r="BN317" s="25"/>
    </row>
    <row r="318" spans="1:66" ht="13.5" customHeight="1" x14ac:dyDescent="0.2">
      <c r="A318" s="22"/>
      <c r="B318" s="23"/>
      <c r="C318" s="23"/>
      <c r="D318" s="24"/>
      <c r="E318" s="24"/>
      <c r="F318" s="24"/>
      <c r="G318" s="24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7"/>
      <c r="AN318" s="25"/>
      <c r="AO318" s="25"/>
      <c r="AP318" s="28"/>
      <c r="AQ318" s="25"/>
      <c r="AR318" s="25"/>
      <c r="AS318" s="28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F318" s="25"/>
      <c r="BG318" s="25"/>
      <c r="BH318" s="25"/>
      <c r="BI318" s="25"/>
      <c r="BJ318" s="24"/>
      <c r="BK318" s="24"/>
      <c r="BL318" s="25"/>
      <c r="BM318" s="25"/>
      <c r="BN318" s="25"/>
    </row>
    <row r="319" spans="1:66" ht="13.5" customHeight="1" x14ac:dyDescent="0.2">
      <c r="A319" s="22"/>
      <c r="B319" s="23"/>
      <c r="C319" s="23"/>
      <c r="D319" s="24"/>
      <c r="E319" s="24"/>
      <c r="F319" s="24"/>
      <c r="G319" s="24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7"/>
      <c r="AN319" s="25"/>
      <c r="AO319" s="25"/>
      <c r="AP319" s="28"/>
      <c r="AQ319" s="25"/>
      <c r="AR319" s="25"/>
      <c r="AS319" s="28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F319" s="25"/>
      <c r="BG319" s="25"/>
      <c r="BH319" s="25"/>
      <c r="BI319" s="25"/>
      <c r="BJ319" s="24"/>
      <c r="BK319" s="24"/>
      <c r="BL319" s="25"/>
      <c r="BM319" s="25"/>
      <c r="BN319" s="25"/>
    </row>
    <row r="320" spans="1:66" ht="13.5" customHeight="1" x14ac:dyDescent="0.2">
      <c r="A320" s="22"/>
      <c r="B320" s="23"/>
      <c r="C320" s="23"/>
      <c r="D320" s="24"/>
      <c r="E320" s="24"/>
      <c r="F320" s="24"/>
      <c r="G320" s="24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7"/>
      <c r="AN320" s="25"/>
      <c r="AO320" s="25"/>
      <c r="AP320" s="28"/>
      <c r="AQ320" s="25"/>
      <c r="AR320" s="25"/>
      <c r="AS320" s="28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F320" s="25"/>
      <c r="BG320" s="25"/>
      <c r="BH320" s="25"/>
      <c r="BI320" s="25"/>
      <c r="BJ320" s="24"/>
      <c r="BK320" s="24"/>
      <c r="BL320" s="25"/>
      <c r="BM320" s="25"/>
      <c r="BN320" s="25"/>
    </row>
    <row r="321" spans="1:66" ht="13.5" customHeight="1" x14ac:dyDescent="0.2">
      <c r="A321" s="22"/>
      <c r="B321" s="23"/>
      <c r="C321" s="23"/>
      <c r="D321" s="24"/>
      <c r="E321" s="24"/>
      <c r="F321" s="24"/>
      <c r="G321" s="24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7"/>
      <c r="AN321" s="25"/>
      <c r="AO321" s="25"/>
      <c r="AP321" s="28"/>
      <c r="AQ321" s="25"/>
      <c r="AR321" s="25"/>
      <c r="AS321" s="28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F321" s="25"/>
      <c r="BG321" s="25"/>
      <c r="BH321" s="25"/>
      <c r="BI321" s="25"/>
      <c r="BJ321" s="24"/>
      <c r="BK321" s="24"/>
      <c r="BL321" s="25"/>
      <c r="BM321" s="25"/>
      <c r="BN321" s="25"/>
    </row>
    <row r="322" spans="1:66" ht="13.5" customHeight="1" x14ac:dyDescent="0.2">
      <c r="A322" s="22"/>
      <c r="B322" s="23"/>
      <c r="C322" s="23"/>
      <c r="D322" s="24"/>
      <c r="E322" s="24"/>
      <c r="F322" s="24"/>
      <c r="G322" s="24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7"/>
      <c r="AN322" s="25"/>
      <c r="AO322" s="25"/>
      <c r="AP322" s="28"/>
      <c r="AQ322" s="25"/>
      <c r="AR322" s="25"/>
      <c r="AS322" s="28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F322" s="25"/>
      <c r="BG322" s="25"/>
      <c r="BH322" s="25"/>
      <c r="BI322" s="25"/>
      <c r="BJ322" s="24"/>
      <c r="BK322" s="24"/>
      <c r="BL322" s="25"/>
      <c r="BM322" s="25"/>
      <c r="BN322" s="25"/>
    </row>
    <row r="323" spans="1:66" ht="13.5" customHeight="1" x14ac:dyDescent="0.2">
      <c r="A323" s="22"/>
      <c r="B323" s="23"/>
      <c r="C323" s="23"/>
      <c r="D323" s="24"/>
      <c r="E323" s="24"/>
      <c r="F323" s="24"/>
      <c r="G323" s="24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7"/>
      <c r="AN323" s="25"/>
      <c r="AO323" s="25"/>
      <c r="AP323" s="28"/>
      <c r="AQ323" s="25"/>
      <c r="AR323" s="25"/>
      <c r="AS323" s="28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F323" s="25"/>
      <c r="BG323" s="25"/>
      <c r="BH323" s="25"/>
      <c r="BI323" s="25"/>
      <c r="BJ323" s="24"/>
      <c r="BK323" s="24"/>
      <c r="BL323" s="25"/>
      <c r="BM323" s="25"/>
      <c r="BN323" s="25"/>
    </row>
    <row r="324" spans="1:66" ht="13.5" customHeight="1" x14ac:dyDescent="0.2">
      <c r="A324" s="22"/>
      <c r="B324" s="23"/>
      <c r="C324" s="23"/>
      <c r="D324" s="24"/>
      <c r="E324" s="24"/>
      <c r="F324" s="24"/>
      <c r="G324" s="24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7"/>
      <c r="AN324" s="25"/>
      <c r="AO324" s="25"/>
      <c r="AP324" s="28"/>
      <c r="AQ324" s="25"/>
      <c r="AR324" s="25"/>
      <c r="AS324" s="28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F324" s="25"/>
      <c r="BG324" s="25"/>
      <c r="BH324" s="25"/>
      <c r="BI324" s="25"/>
      <c r="BJ324" s="24"/>
      <c r="BK324" s="24"/>
      <c r="BL324" s="25"/>
      <c r="BM324" s="25"/>
      <c r="BN324" s="25"/>
    </row>
    <row r="325" spans="1:66" ht="13.5" customHeight="1" x14ac:dyDescent="0.2">
      <c r="A325" s="22"/>
      <c r="B325" s="23"/>
      <c r="C325" s="23"/>
      <c r="D325" s="24"/>
      <c r="E325" s="24"/>
      <c r="F325" s="24"/>
      <c r="G325" s="24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7"/>
      <c r="AN325" s="25"/>
      <c r="AO325" s="25"/>
      <c r="AP325" s="28"/>
      <c r="AQ325" s="25"/>
      <c r="AR325" s="25"/>
      <c r="AS325" s="28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F325" s="25"/>
      <c r="BG325" s="25"/>
      <c r="BH325" s="25"/>
      <c r="BI325" s="25"/>
      <c r="BJ325" s="24"/>
      <c r="BK325" s="24"/>
      <c r="BL325" s="25"/>
      <c r="BM325" s="25"/>
      <c r="BN325" s="25"/>
    </row>
    <row r="326" spans="1:66" ht="13.5" customHeight="1" x14ac:dyDescent="0.2">
      <c r="A326" s="22"/>
      <c r="B326" s="23"/>
      <c r="C326" s="23"/>
      <c r="D326" s="24"/>
      <c r="E326" s="24"/>
      <c r="F326" s="24"/>
      <c r="G326" s="24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7"/>
      <c r="AN326" s="25"/>
      <c r="AO326" s="25"/>
      <c r="AP326" s="28"/>
      <c r="AQ326" s="25"/>
      <c r="AR326" s="25"/>
      <c r="AS326" s="28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F326" s="25"/>
      <c r="BG326" s="25"/>
      <c r="BH326" s="25"/>
      <c r="BI326" s="25"/>
      <c r="BJ326" s="24"/>
      <c r="BK326" s="24"/>
      <c r="BL326" s="25"/>
      <c r="BM326" s="25"/>
      <c r="BN326" s="25"/>
    </row>
    <row r="327" spans="1:66" ht="13.5" customHeight="1" x14ac:dyDescent="0.2">
      <c r="A327" s="22"/>
      <c r="B327" s="23"/>
      <c r="C327" s="23"/>
      <c r="D327" s="24"/>
      <c r="E327" s="24"/>
      <c r="F327" s="24"/>
      <c r="G327" s="24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7"/>
      <c r="AN327" s="25"/>
      <c r="AO327" s="25"/>
      <c r="AP327" s="28"/>
      <c r="AQ327" s="25"/>
      <c r="AR327" s="25"/>
      <c r="AS327" s="28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F327" s="25"/>
      <c r="BG327" s="25"/>
      <c r="BH327" s="25"/>
      <c r="BI327" s="25"/>
      <c r="BJ327" s="24"/>
      <c r="BK327" s="24"/>
      <c r="BL327" s="25"/>
      <c r="BM327" s="25"/>
      <c r="BN327" s="25"/>
    </row>
    <row r="328" spans="1:66" ht="13.5" customHeight="1" x14ac:dyDescent="0.2">
      <c r="A328" s="22"/>
      <c r="B328" s="23"/>
      <c r="C328" s="23"/>
      <c r="D328" s="24"/>
      <c r="E328" s="24"/>
      <c r="F328" s="24"/>
      <c r="G328" s="24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7"/>
      <c r="AN328" s="25"/>
      <c r="AO328" s="25"/>
      <c r="AP328" s="28"/>
      <c r="AQ328" s="25"/>
      <c r="AR328" s="25"/>
      <c r="AS328" s="28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F328" s="25"/>
      <c r="BG328" s="25"/>
      <c r="BH328" s="25"/>
      <c r="BI328" s="25"/>
      <c r="BJ328" s="24"/>
      <c r="BK328" s="24"/>
      <c r="BL328" s="25"/>
      <c r="BM328" s="25"/>
      <c r="BN328" s="25"/>
    </row>
    <row r="329" spans="1:66" ht="13.5" customHeight="1" x14ac:dyDescent="0.2">
      <c r="A329" s="22"/>
      <c r="B329" s="23"/>
      <c r="C329" s="23"/>
      <c r="D329" s="24"/>
      <c r="E329" s="24"/>
      <c r="F329" s="24"/>
      <c r="G329" s="24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7"/>
      <c r="AN329" s="25"/>
      <c r="AO329" s="25"/>
      <c r="AP329" s="28"/>
      <c r="AQ329" s="25"/>
      <c r="AR329" s="25"/>
      <c r="AS329" s="28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F329" s="25"/>
      <c r="BG329" s="25"/>
      <c r="BH329" s="25"/>
      <c r="BI329" s="25"/>
      <c r="BJ329" s="24"/>
      <c r="BK329" s="24"/>
      <c r="BL329" s="25"/>
      <c r="BM329" s="25"/>
      <c r="BN329" s="25"/>
    </row>
    <row r="330" spans="1:66" ht="13.5" customHeight="1" x14ac:dyDescent="0.2">
      <c r="A330" s="22"/>
      <c r="B330" s="23"/>
      <c r="C330" s="23"/>
      <c r="D330" s="24"/>
      <c r="E330" s="24"/>
      <c r="F330" s="24"/>
      <c r="G330" s="24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7"/>
      <c r="AN330" s="25"/>
      <c r="AO330" s="25"/>
      <c r="AP330" s="28"/>
      <c r="AQ330" s="25"/>
      <c r="AR330" s="25"/>
      <c r="AS330" s="28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F330" s="25"/>
      <c r="BG330" s="25"/>
      <c r="BH330" s="25"/>
      <c r="BI330" s="25"/>
      <c r="BJ330" s="24"/>
      <c r="BK330" s="24"/>
      <c r="BL330" s="25"/>
      <c r="BM330" s="25"/>
      <c r="BN330" s="25"/>
    </row>
    <row r="331" spans="1:66" ht="13.5" customHeight="1" x14ac:dyDescent="0.2">
      <c r="A331" s="22"/>
      <c r="B331" s="23"/>
      <c r="C331" s="23"/>
      <c r="D331" s="24"/>
      <c r="E331" s="24"/>
      <c r="F331" s="24"/>
      <c r="G331" s="24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7"/>
      <c r="AN331" s="25"/>
      <c r="AO331" s="25"/>
      <c r="AP331" s="28"/>
      <c r="AQ331" s="25"/>
      <c r="AR331" s="25"/>
      <c r="AS331" s="28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F331" s="25"/>
      <c r="BG331" s="25"/>
      <c r="BH331" s="25"/>
      <c r="BI331" s="25"/>
      <c r="BJ331" s="24"/>
      <c r="BK331" s="24"/>
      <c r="BL331" s="25"/>
      <c r="BM331" s="25"/>
      <c r="BN331" s="25"/>
    </row>
    <row r="332" spans="1:66" ht="13.5" customHeight="1" x14ac:dyDescent="0.2">
      <c r="A332" s="22"/>
      <c r="B332" s="23"/>
      <c r="C332" s="23"/>
      <c r="D332" s="24"/>
      <c r="E332" s="24"/>
      <c r="F332" s="24"/>
      <c r="G332" s="24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7"/>
      <c r="AN332" s="25"/>
      <c r="AO332" s="25"/>
      <c r="AP332" s="28"/>
      <c r="AQ332" s="25"/>
      <c r="AR332" s="25"/>
      <c r="AS332" s="28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F332" s="25"/>
      <c r="BG332" s="25"/>
      <c r="BH332" s="25"/>
      <c r="BI332" s="25"/>
      <c r="BJ332" s="24"/>
      <c r="BK332" s="24"/>
      <c r="BL332" s="25"/>
      <c r="BM332" s="25"/>
      <c r="BN332" s="25"/>
    </row>
    <row r="333" spans="1:66" ht="13.5" customHeight="1" x14ac:dyDescent="0.2">
      <c r="A333" s="22"/>
      <c r="B333" s="23"/>
      <c r="C333" s="23"/>
      <c r="D333" s="24"/>
      <c r="E333" s="24"/>
      <c r="F333" s="24"/>
      <c r="G333" s="24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7"/>
      <c r="AN333" s="25"/>
      <c r="AO333" s="25"/>
      <c r="AP333" s="28"/>
      <c r="AQ333" s="25"/>
      <c r="AR333" s="25"/>
      <c r="AS333" s="28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F333" s="25"/>
      <c r="BG333" s="25"/>
      <c r="BH333" s="25"/>
      <c r="BI333" s="25"/>
      <c r="BJ333" s="24"/>
      <c r="BK333" s="24"/>
      <c r="BL333" s="25"/>
      <c r="BM333" s="25"/>
      <c r="BN333" s="25"/>
    </row>
    <row r="334" spans="1:66" ht="13.5" customHeight="1" x14ac:dyDescent="0.2">
      <c r="A334" s="22"/>
      <c r="B334" s="23"/>
      <c r="C334" s="23"/>
      <c r="D334" s="24"/>
      <c r="E334" s="24"/>
      <c r="F334" s="24"/>
      <c r="G334" s="24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7"/>
      <c r="AN334" s="25"/>
      <c r="AO334" s="25"/>
      <c r="AP334" s="28"/>
      <c r="AQ334" s="25"/>
      <c r="AR334" s="25"/>
      <c r="AS334" s="28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F334" s="25"/>
      <c r="BG334" s="25"/>
      <c r="BH334" s="25"/>
      <c r="BI334" s="25"/>
      <c r="BJ334" s="24"/>
      <c r="BK334" s="24"/>
      <c r="BL334" s="25"/>
      <c r="BM334" s="25"/>
      <c r="BN334" s="25"/>
    </row>
    <row r="335" spans="1:66" ht="13.5" customHeight="1" x14ac:dyDescent="0.2">
      <c r="A335" s="22"/>
      <c r="B335" s="23"/>
      <c r="C335" s="23"/>
      <c r="D335" s="24"/>
      <c r="E335" s="24"/>
      <c r="F335" s="24"/>
      <c r="G335" s="24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7"/>
      <c r="AN335" s="25"/>
      <c r="AO335" s="25"/>
      <c r="AP335" s="28"/>
      <c r="AQ335" s="25"/>
      <c r="AR335" s="25"/>
      <c r="AS335" s="28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F335" s="25"/>
      <c r="BG335" s="25"/>
      <c r="BH335" s="25"/>
      <c r="BI335" s="25"/>
      <c r="BJ335" s="24"/>
      <c r="BK335" s="24"/>
      <c r="BL335" s="25"/>
      <c r="BM335" s="25"/>
      <c r="BN335" s="25"/>
    </row>
    <row r="336" spans="1:66" ht="13.5" customHeight="1" x14ac:dyDescent="0.2">
      <c r="A336" s="22"/>
      <c r="B336" s="23"/>
      <c r="C336" s="23"/>
      <c r="D336" s="24"/>
      <c r="E336" s="24"/>
      <c r="F336" s="24"/>
      <c r="G336" s="24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7"/>
      <c r="AN336" s="25"/>
      <c r="AO336" s="25"/>
      <c r="AP336" s="28"/>
      <c r="AQ336" s="25"/>
      <c r="AR336" s="25"/>
      <c r="AS336" s="28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F336" s="25"/>
      <c r="BG336" s="25"/>
      <c r="BH336" s="25"/>
      <c r="BI336" s="25"/>
      <c r="BJ336" s="24"/>
      <c r="BK336" s="24"/>
      <c r="BL336" s="25"/>
      <c r="BM336" s="25"/>
      <c r="BN336" s="25"/>
    </row>
    <row r="337" spans="1:66" ht="13.5" customHeight="1" x14ac:dyDescent="0.2">
      <c r="A337" s="22"/>
      <c r="B337" s="23"/>
      <c r="C337" s="23"/>
      <c r="D337" s="24"/>
      <c r="E337" s="24"/>
      <c r="F337" s="24"/>
      <c r="G337" s="24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7"/>
      <c r="AN337" s="25"/>
      <c r="AO337" s="25"/>
      <c r="AP337" s="28"/>
      <c r="AQ337" s="25"/>
      <c r="AR337" s="25"/>
      <c r="AS337" s="28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F337" s="25"/>
      <c r="BG337" s="25"/>
      <c r="BH337" s="25"/>
      <c r="BI337" s="25"/>
      <c r="BJ337" s="24"/>
      <c r="BK337" s="24"/>
      <c r="BL337" s="25"/>
      <c r="BM337" s="25"/>
      <c r="BN337" s="25"/>
    </row>
    <row r="338" spans="1:66" ht="13.5" customHeight="1" x14ac:dyDescent="0.2">
      <c r="A338" s="22"/>
      <c r="B338" s="23"/>
      <c r="C338" s="23"/>
      <c r="D338" s="24"/>
      <c r="E338" s="24"/>
      <c r="F338" s="24"/>
      <c r="G338" s="24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7"/>
      <c r="AN338" s="25"/>
      <c r="AO338" s="25"/>
      <c r="AP338" s="28"/>
      <c r="AQ338" s="25"/>
      <c r="AR338" s="25"/>
      <c r="AS338" s="28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F338" s="25"/>
      <c r="BG338" s="25"/>
      <c r="BH338" s="25"/>
      <c r="BI338" s="25"/>
      <c r="BJ338" s="24"/>
      <c r="BK338" s="24"/>
      <c r="BL338" s="25"/>
      <c r="BM338" s="25"/>
      <c r="BN338" s="25"/>
    </row>
    <row r="339" spans="1:66" ht="13.5" customHeight="1" x14ac:dyDescent="0.2">
      <c r="A339" s="22"/>
      <c r="B339" s="23"/>
      <c r="C339" s="23"/>
      <c r="D339" s="24"/>
      <c r="E339" s="24"/>
      <c r="F339" s="24"/>
      <c r="G339" s="24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7"/>
      <c r="AN339" s="25"/>
      <c r="AO339" s="25"/>
      <c r="AP339" s="28"/>
      <c r="AQ339" s="25"/>
      <c r="AR339" s="25"/>
      <c r="AS339" s="28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F339" s="25"/>
      <c r="BG339" s="25"/>
      <c r="BH339" s="25"/>
      <c r="BI339" s="25"/>
      <c r="BJ339" s="24"/>
      <c r="BK339" s="24"/>
      <c r="BL339" s="25"/>
      <c r="BM339" s="25"/>
      <c r="BN339" s="25"/>
    </row>
    <row r="340" spans="1:66" ht="13.5" customHeight="1" x14ac:dyDescent="0.2">
      <c r="A340" s="22"/>
      <c r="B340" s="23"/>
      <c r="C340" s="23"/>
      <c r="D340" s="24"/>
      <c r="E340" s="24"/>
      <c r="F340" s="24"/>
      <c r="G340" s="24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7"/>
      <c r="AN340" s="25"/>
      <c r="AO340" s="25"/>
      <c r="AP340" s="28"/>
      <c r="AQ340" s="25"/>
      <c r="AR340" s="25"/>
      <c r="AS340" s="28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F340" s="25"/>
      <c r="BG340" s="25"/>
      <c r="BH340" s="25"/>
      <c r="BI340" s="25"/>
      <c r="BJ340" s="24"/>
      <c r="BK340" s="24"/>
      <c r="BL340" s="25"/>
      <c r="BM340" s="25"/>
      <c r="BN340" s="25"/>
    </row>
    <row r="341" spans="1:66" ht="13.5" customHeight="1" x14ac:dyDescent="0.2">
      <c r="A341" s="22"/>
      <c r="B341" s="23"/>
      <c r="C341" s="23"/>
      <c r="D341" s="24"/>
      <c r="E341" s="24"/>
      <c r="F341" s="24"/>
      <c r="G341" s="24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7"/>
      <c r="AN341" s="25"/>
      <c r="AO341" s="25"/>
      <c r="AP341" s="28"/>
      <c r="AQ341" s="25"/>
      <c r="AR341" s="25"/>
      <c r="AS341" s="28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F341" s="25"/>
      <c r="BG341" s="25"/>
      <c r="BH341" s="25"/>
      <c r="BI341" s="25"/>
      <c r="BJ341" s="24"/>
      <c r="BK341" s="24"/>
      <c r="BL341" s="25"/>
      <c r="BM341" s="25"/>
      <c r="BN341" s="25"/>
    </row>
    <row r="342" spans="1:66" ht="13.5" customHeight="1" x14ac:dyDescent="0.2">
      <c r="A342" s="22"/>
      <c r="B342" s="23"/>
      <c r="C342" s="23"/>
      <c r="D342" s="24"/>
      <c r="E342" s="24"/>
      <c r="F342" s="24"/>
      <c r="G342" s="24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7"/>
      <c r="AN342" s="25"/>
      <c r="AO342" s="25"/>
      <c r="AP342" s="28"/>
      <c r="AQ342" s="25"/>
      <c r="AR342" s="25"/>
      <c r="AS342" s="28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F342" s="25"/>
      <c r="BG342" s="25"/>
      <c r="BH342" s="25"/>
      <c r="BI342" s="25"/>
      <c r="BJ342" s="24"/>
      <c r="BK342" s="24"/>
      <c r="BL342" s="25"/>
      <c r="BM342" s="25"/>
      <c r="BN342" s="25"/>
    </row>
    <row r="343" spans="1:66" ht="13.5" customHeight="1" x14ac:dyDescent="0.2">
      <c r="A343" s="22"/>
      <c r="B343" s="23"/>
      <c r="C343" s="23"/>
      <c r="D343" s="24"/>
      <c r="E343" s="24"/>
      <c r="F343" s="24"/>
      <c r="G343" s="24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7"/>
      <c r="AN343" s="25"/>
      <c r="AO343" s="25"/>
      <c r="AP343" s="28"/>
      <c r="AQ343" s="25"/>
      <c r="AR343" s="25"/>
      <c r="AS343" s="28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F343" s="25"/>
      <c r="BG343" s="25"/>
      <c r="BH343" s="25"/>
      <c r="BI343" s="25"/>
      <c r="BJ343" s="24"/>
      <c r="BK343" s="24"/>
      <c r="BL343" s="25"/>
      <c r="BM343" s="25"/>
      <c r="BN343" s="25"/>
    </row>
    <row r="344" spans="1:66" ht="13.5" customHeight="1" x14ac:dyDescent="0.2">
      <c r="A344" s="22"/>
      <c r="B344" s="23"/>
      <c r="C344" s="23"/>
      <c r="D344" s="24"/>
      <c r="E344" s="24"/>
      <c r="F344" s="24"/>
      <c r="G344" s="24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7"/>
      <c r="AN344" s="25"/>
      <c r="AO344" s="25"/>
      <c r="AP344" s="28"/>
      <c r="AQ344" s="25"/>
      <c r="AR344" s="25"/>
      <c r="AS344" s="28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F344" s="25"/>
      <c r="BG344" s="25"/>
      <c r="BH344" s="25"/>
      <c r="BI344" s="25"/>
      <c r="BJ344" s="24"/>
      <c r="BK344" s="24"/>
      <c r="BL344" s="25"/>
      <c r="BM344" s="25"/>
      <c r="BN344" s="25"/>
    </row>
    <row r="345" spans="1:66" ht="13.5" customHeight="1" x14ac:dyDescent="0.2">
      <c r="A345" s="22"/>
      <c r="B345" s="23"/>
      <c r="C345" s="23"/>
      <c r="D345" s="24"/>
      <c r="E345" s="24"/>
      <c r="F345" s="24"/>
      <c r="G345" s="24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7"/>
      <c r="AN345" s="25"/>
      <c r="AO345" s="25"/>
      <c r="AP345" s="28"/>
      <c r="AQ345" s="25"/>
      <c r="AR345" s="25"/>
      <c r="AS345" s="28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F345" s="25"/>
      <c r="BG345" s="25"/>
      <c r="BH345" s="25"/>
      <c r="BI345" s="25"/>
      <c r="BJ345" s="24"/>
      <c r="BK345" s="24"/>
      <c r="BL345" s="25"/>
      <c r="BM345" s="25"/>
      <c r="BN345" s="25"/>
    </row>
    <row r="346" spans="1:66" ht="13.5" customHeight="1" x14ac:dyDescent="0.2">
      <c r="A346" s="22"/>
      <c r="B346" s="23"/>
      <c r="C346" s="23"/>
      <c r="D346" s="24"/>
      <c r="E346" s="24"/>
      <c r="F346" s="24"/>
      <c r="G346" s="24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7"/>
      <c r="AN346" s="25"/>
      <c r="AO346" s="25"/>
      <c r="AP346" s="28"/>
      <c r="AQ346" s="25"/>
      <c r="AR346" s="25"/>
      <c r="AS346" s="28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F346" s="25"/>
      <c r="BG346" s="25"/>
      <c r="BH346" s="25"/>
      <c r="BI346" s="25"/>
      <c r="BJ346" s="24"/>
      <c r="BK346" s="24"/>
      <c r="BL346" s="25"/>
      <c r="BM346" s="25"/>
      <c r="BN346" s="25"/>
    </row>
    <row r="347" spans="1:66" ht="13.5" customHeight="1" x14ac:dyDescent="0.2">
      <c r="A347" s="22"/>
      <c r="B347" s="23"/>
      <c r="C347" s="23"/>
      <c r="D347" s="24"/>
      <c r="E347" s="24"/>
      <c r="F347" s="24"/>
      <c r="G347" s="24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7"/>
      <c r="AN347" s="25"/>
      <c r="AO347" s="25"/>
      <c r="AP347" s="28"/>
      <c r="AQ347" s="25"/>
      <c r="AR347" s="25"/>
      <c r="AS347" s="28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F347" s="25"/>
      <c r="BG347" s="25"/>
      <c r="BH347" s="25"/>
      <c r="BI347" s="25"/>
      <c r="BJ347" s="24"/>
      <c r="BK347" s="24"/>
      <c r="BL347" s="25"/>
      <c r="BM347" s="25"/>
      <c r="BN347" s="25"/>
    </row>
    <row r="348" spans="1:66" ht="13.5" customHeight="1" x14ac:dyDescent="0.2">
      <c r="A348" s="22"/>
      <c r="B348" s="23"/>
      <c r="C348" s="23"/>
      <c r="D348" s="24"/>
      <c r="E348" s="24"/>
      <c r="F348" s="24"/>
      <c r="G348" s="24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7"/>
      <c r="AN348" s="25"/>
      <c r="AO348" s="25"/>
      <c r="AP348" s="28"/>
      <c r="AQ348" s="25"/>
      <c r="AR348" s="25"/>
      <c r="AS348" s="28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F348" s="25"/>
      <c r="BG348" s="25"/>
      <c r="BH348" s="25"/>
      <c r="BI348" s="25"/>
      <c r="BJ348" s="24"/>
      <c r="BK348" s="24"/>
      <c r="BL348" s="25"/>
      <c r="BM348" s="25"/>
      <c r="BN348" s="25"/>
    </row>
    <row r="349" spans="1:66" ht="13.5" customHeight="1" x14ac:dyDescent="0.2">
      <c r="A349" s="22"/>
      <c r="B349" s="23"/>
      <c r="C349" s="23"/>
      <c r="D349" s="24"/>
      <c r="E349" s="24"/>
      <c r="F349" s="24"/>
      <c r="G349" s="24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7"/>
      <c r="AN349" s="25"/>
      <c r="AO349" s="25"/>
      <c r="AP349" s="28"/>
      <c r="AQ349" s="25"/>
      <c r="AR349" s="25"/>
      <c r="AS349" s="28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F349" s="25"/>
      <c r="BG349" s="25"/>
      <c r="BH349" s="25"/>
      <c r="BI349" s="25"/>
      <c r="BJ349" s="24"/>
      <c r="BK349" s="24"/>
      <c r="BL349" s="25"/>
      <c r="BM349" s="25"/>
      <c r="BN349" s="25"/>
    </row>
    <row r="350" spans="1:66" ht="13.5" customHeight="1" x14ac:dyDescent="0.2">
      <c r="A350" s="22"/>
      <c r="B350" s="23"/>
      <c r="C350" s="23"/>
      <c r="D350" s="24"/>
      <c r="E350" s="24"/>
      <c r="F350" s="24"/>
      <c r="G350" s="24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7"/>
      <c r="AN350" s="25"/>
      <c r="AO350" s="25"/>
      <c r="AP350" s="28"/>
      <c r="AQ350" s="25"/>
      <c r="AR350" s="25"/>
      <c r="AS350" s="28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F350" s="25"/>
      <c r="BG350" s="25"/>
      <c r="BH350" s="25"/>
      <c r="BI350" s="25"/>
      <c r="BJ350" s="24"/>
      <c r="BK350" s="24"/>
      <c r="BL350" s="25"/>
      <c r="BM350" s="25"/>
      <c r="BN350" s="25"/>
    </row>
    <row r="351" spans="1:66" ht="13.5" customHeight="1" x14ac:dyDescent="0.2">
      <c r="A351" s="22"/>
      <c r="B351" s="23"/>
      <c r="C351" s="23"/>
      <c r="D351" s="24"/>
      <c r="E351" s="24"/>
      <c r="F351" s="24"/>
      <c r="G351" s="24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7"/>
      <c r="AN351" s="25"/>
      <c r="AO351" s="25"/>
      <c r="AP351" s="28"/>
      <c r="AQ351" s="25"/>
      <c r="AR351" s="25"/>
      <c r="AS351" s="28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F351" s="25"/>
      <c r="BG351" s="25"/>
      <c r="BH351" s="25"/>
      <c r="BI351" s="25"/>
      <c r="BJ351" s="24"/>
      <c r="BK351" s="24"/>
      <c r="BL351" s="25"/>
      <c r="BM351" s="25"/>
      <c r="BN351" s="25"/>
    </row>
    <row r="352" spans="1:66" ht="13.5" customHeight="1" x14ac:dyDescent="0.2">
      <c r="A352" s="22"/>
      <c r="B352" s="23"/>
      <c r="C352" s="23"/>
      <c r="D352" s="24"/>
      <c r="E352" s="24"/>
      <c r="F352" s="24"/>
      <c r="G352" s="24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7"/>
      <c r="AN352" s="25"/>
      <c r="AO352" s="25"/>
      <c r="AP352" s="28"/>
      <c r="AQ352" s="25"/>
      <c r="AR352" s="25"/>
      <c r="AS352" s="28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F352" s="25"/>
      <c r="BG352" s="25"/>
      <c r="BH352" s="25"/>
      <c r="BI352" s="25"/>
      <c r="BJ352" s="24"/>
      <c r="BK352" s="24"/>
      <c r="BL352" s="25"/>
      <c r="BM352" s="25"/>
      <c r="BN352" s="25"/>
    </row>
    <row r="353" spans="1:66" ht="13.5" customHeight="1" x14ac:dyDescent="0.2">
      <c r="A353" s="22"/>
      <c r="B353" s="23"/>
      <c r="C353" s="23"/>
      <c r="D353" s="24"/>
      <c r="E353" s="24"/>
      <c r="F353" s="24"/>
      <c r="G353" s="24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7"/>
      <c r="AN353" s="25"/>
      <c r="AO353" s="25"/>
      <c r="AP353" s="28"/>
      <c r="AQ353" s="25"/>
      <c r="AR353" s="25"/>
      <c r="AS353" s="28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F353" s="25"/>
      <c r="BG353" s="25"/>
      <c r="BH353" s="25"/>
      <c r="BI353" s="25"/>
      <c r="BJ353" s="24"/>
      <c r="BK353" s="24"/>
      <c r="BL353" s="25"/>
      <c r="BM353" s="25"/>
      <c r="BN353" s="25"/>
    </row>
    <row r="354" spans="1:66" ht="13.5" customHeight="1" x14ac:dyDescent="0.2">
      <c r="A354" s="22"/>
      <c r="B354" s="23"/>
      <c r="C354" s="23"/>
      <c r="D354" s="24"/>
      <c r="E354" s="24"/>
      <c r="F354" s="24"/>
      <c r="G354" s="24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7"/>
      <c r="AN354" s="25"/>
      <c r="AO354" s="25"/>
      <c r="AP354" s="28"/>
      <c r="AQ354" s="25"/>
      <c r="AR354" s="25"/>
      <c r="AS354" s="28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F354" s="25"/>
      <c r="BG354" s="25"/>
      <c r="BH354" s="25"/>
      <c r="BI354" s="25"/>
      <c r="BJ354" s="24"/>
      <c r="BK354" s="24"/>
      <c r="BL354" s="25"/>
      <c r="BM354" s="25"/>
      <c r="BN354" s="25"/>
    </row>
    <row r="355" spans="1:66" ht="13.5" customHeight="1" x14ac:dyDescent="0.2">
      <c r="A355" s="22"/>
      <c r="B355" s="23"/>
      <c r="C355" s="23"/>
      <c r="D355" s="24"/>
      <c r="E355" s="24"/>
      <c r="F355" s="24"/>
      <c r="G355" s="24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7"/>
      <c r="AN355" s="25"/>
      <c r="AO355" s="25"/>
      <c r="AP355" s="28"/>
      <c r="AQ355" s="25"/>
      <c r="AR355" s="25"/>
      <c r="AS355" s="28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F355" s="25"/>
      <c r="BG355" s="25"/>
      <c r="BH355" s="25"/>
      <c r="BI355" s="25"/>
      <c r="BJ355" s="24"/>
      <c r="BK355" s="24"/>
      <c r="BL355" s="25"/>
      <c r="BM355" s="25"/>
      <c r="BN355" s="25"/>
    </row>
    <row r="356" spans="1:66" ht="13.5" customHeight="1" x14ac:dyDescent="0.2">
      <c r="A356" s="22"/>
      <c r="B356" s="23"/>
      <c r="C356" s="23"/>
      <c r="D356" s="24"/>
      <c r="E356" s="24"/>
      <c r="F356" s="24"/>
      <c r="G356" s="24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7"/>
      <c r="AN356" s="25"/>
      <c r="AO356" s="25"/>
      <c r="AP356" s="28"/>
      <c r="AQ356" s="25"/>
      <c r="AR356" s="25"/>
      <c r="AS356" s="28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F356" s="25"/>
      <c r="BG356" s="25"/>
      <c r="BH356" s="25"/>
      <c r="BI356" s="25"/>
      <c r="BJ356" s="24"/>
      <c r="BK356" s="24"/>
      <c r="BL356" s="25"/>
      <c r="BM356" s="25"/>
      <c r="BN356" s="25"/>
    </row>
    <row r="357" spans="1:66" ht="13.5" customHeight="1" x14ac:dyDescent="0.2">
      <c r="A357" s="22"/>
      <c r="B357" s="23"/>
      <c r="C357" s="23"/>
      <c r="D357" s="24"/>
      <c r="E357" s="24"/>
      <c r="F357" s="24"/>
      <c r="G357" s="24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7"/>
      <c r="AN357" s="25"/>
      <c r="AO357" s="25"/>
      <c r="AP357" s="28"/>
      <c r="AQ357" s="25"/>
      <c r="AR357" s="25"/>
      <c r="AS357" s="28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F357" s="25"/>
      <c r="BG357" s="25"/>
      <c r="BH357" s="25"/>
      <c r="BI357" s="25"/>
      <c r="BJ357" s="24"/>
      <c r="BK357" s="24"/>
      <c r="BL357" s="25"/>
      <c r="BM357" s="25"/>
      <c r="BN357" s="25"/>
    </row>
    <row r="358" spans="1:66" ht="13.5" customHeight="1" x14ac:dyDescent="0.2">
      <c r="A358" s="22"/>
      <c r="B358" s="23"/>
      <c r="C358" s="23"/>
      <c r="D358" s="24"/>
      <c r="E358" s="24"/>
      <c r="F358" s="24"/>
      <c r="G358" s="24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7"/>
      <c r="AN358" s="25"/>
      <c r="AO358" s="25"/>
      <c r="AP358" s="28"/>
      <c r="AQ358" s="25"/>
      <c r="AR358" s="25"/>
      <c r="AS358" s="28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F358" s="25"/>
      <c r="BG358" s="25"/>
      <c r="BH358" s="25"/>
      <c r="BI358" s="25"/>
      <c r="BJ358" s="24"/>
      <c r="BK358" s="24"/>
      <c r="BL358" s="25"/>
      <c r="BM358" s="25"/>
      <c r="BN358" s="25"/>
    </row>
    <row r="359" spans="1:66" ht="13.5" customHeight="1" x14ac:dyDescent="0.2">
      <c r="A359" s="22"/>
      <c r="B359" s="23"/>
      <c r="C359" s="23"/>
      <c r="D359" s="24"/>
      <c r="E359" s="24"/>
      <c r="F359" s="24"/>
      <c r="G359" s="24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7"/>
      <c r="AN359" s="25"/>
      <c r="AO359" s="25"/>
      <c r="AP359" s="28"/>
      <c r="AQ359" s="25"/>
      <c r="AR359" s="25"/>
      <c r="AS359" s="28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F359" s="25"/>
      <c r="BG359" s="25"/>
      <c r="BH359" s="25"/>
      <c r="BI359" s="25"/>
      <c r="BJ359" s="24"/>
      <c r="BK359" s="24"/>
      <c r="BL359" s="25"/>
      <c r="BM359" s="25"/>
      <c r="BN359" s="25"/>
    </row>
    <row r="360" spans="1:66" ht="13.5" customHeight="1" x14ac:dyDescent="0.2">
      <c r="A360" s="22"/>
      <c r="B360" s="23"/>
      <c r="C360" s="23"/>
      <c r="D360" s="24"/>
      <c r="E360" s="24"/>
      <c r="F360" s="24"/>
      <c r="G360" s="24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7"/>
      <c r="AN360" s="25"/>
      <c r="AO360" s="25"/>
      <c r="AP360" s="28"/>
      <c r="AQ360" s="25"/>
      <c r="AR360" s="25"/>
      <c r="AS360" s="28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F360" s="25"/>
      <c r="BG360" s="25"/>
      <c r="BH360" s="25"/>
      <c r="BI360" s="25"/>
      <c r="BJ360" s="24"/>
      <c r="BK360" s="24"/>
      <c r="BL360" s="25"/>
      <c r="BM360" s="25"/>
      <c r="BN360" s="25"/>
    </row>
    <row r="361" spans="1:66" ht="13.5" customHeight="1" x14ac:dyDescent="0.2">
      <c r="A361" s="22"/>
      <c r="B361" s="23"/>
      <c r="C361" s="23"/>
      <c r="D361" s="24"/>
      <c r="E361" s="24"/>
      <c r="F361" s="24"/>
      <c r="G361" s="24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7"/>
      <c r="AN361" s="25"/>
      <c r="AO361" s="25"/>
      <c r="AP361" s="28"/>
      <c r="AQ361" s="25"/>
      <c r="AR361" s="25"/>
      <c r="AS361" s="28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F361" s="25"/>
      <c r="BG361" s="25"/>
      <c r="BH361" s="25"/>
      <c r="BI361" s="25"/>
      <c r="BJ361" s="24"/>
      <c r="BK361" s="24"/>
      <c r="BL361" s="25"/>
      <c r="BM361" s="25"/>
      <c r="BN361" s="25"/>
    </row>
    <row r="362" spans="1:66" ht="13.5" customHeight="1" x14ac:dyDescent="0.2">
      <c r="A362" s="22"/>
      <c r="B362" s="23"/>
      <c r="C362" s="23"/>
      <c r="D362" s="24"/>
      <c r="E362" s="24"/>
      <c r="F362" s="24"/>
      <c r="G362" s="24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7"/>
      <c r="AN362" s="25"/>
      <c r="AO362" s="25"/>
      <c r="AP362" s="28"/>
      <c r="AQ362" s="25"/>
      <c r="AR362" s="25"/>
      <c r="AS362" s="28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F362" s="25"/>
      <c r="BG362" s="25"/>
      <c r="BH362" s="25"/>
      <c r="BI362" s="25"/>
      <c r="BJ362" s="24"/>
      <c r="BK362" s="24"/>
      <c r="BL362" s="25"/>
      <c r="BM362" s="25"/>
      <c r="BN362" s="25"/>
    </row>
    <row r="363" spans="1:66" ht="13.5" customHeight="1" x14ac:dyDescent="0.2">
      <c r="A363" s="22"/>
      <c r="B363" s="23"/>
      <c r="C363" s="23"/>
      <c r="D363" s="24"/>
      <c r="E363" s="24"/>
      <c r="F363" s="24"/>
      <c r="G363" s="24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7"/>
      <c r="AN363" s="25"/>
      <c r="AO363" s="25"/>
      <c r="AP363" s="28"/>
      <c r="AQ363" s="25"/>
      <c r="AR363" s="25"/>
      <c r="AS363" s="28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F363" s="25"/>
      <c r="BG363" s="25"/>
      <c r="BH363" s="25"/>
      <c r="BI363" s="25"/>
      <c r="BJ363" s="24"/>
      <c r="BK363" s="24"/>
      <c r="BL363" s="25"/>
      <c r="BM363" s="25"/>
      <c r="BN363" s="25"/>
    </row>
    <row r="364" spans="1:66" ht="13.5" customHeight="1" x14ac:dyDescent="0.2">
      <c r="A364" s="22"/>
      <c r="B364" s="23"/>
      <c r="C364" s="23"/>
      <c r="D364" s="24"/>
      <c r="E364" s="24"/>
      <c r="F364" s="24"/>
      <c r="G364" s="24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7"/>
      <c r="AN364" s="25"/>
      <c r="AO364" s="25"/>
      <c r="AP364" s="28"/>
      <c r="AQ364" s="25"/>
      <c r="AR364" s="25"/>
      <c r="AS364" s="28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F364" s="25"/>
      <c r="BG364" s="25"/>
      <c r="BH364" s="25"/>
      <c r="BI364" s="25"/>
      <c r="BJ364" s="24"/>
      <c r="BK364" s="24"/>
      <c r="BL364" s="25"/>
      <c r="BM364" s="25"/>
      <c r="BN364" s="25"/>
    </row>
    <row r="365" spans="1:66" ht="13.5" customHeight="1" x14ac:dyDescent="0.2">
      <c r="A365" s="22"/>
      <c r="B365" s="23"/>
      <c r="C365" s="23"/>
      <c r="D365" s="24"/>
      <c r="E365" s="24"/>
      <c r="F365" s="24"/>
      <c r="G365" s="24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7"/>
      <c r="AN365" s="25"/>
      <c r="AO365" s="25"/>
      <c r="AP365" s="28"/>
      <c r="AQ365" s="25"/>
      <c r="AR365" s="25"/>
      <c r="AS365" s="28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F365" s="25"/>
      <c r="BG365" s="25"/>
      <c r="BH365" s="25"/>
      <c r="BI365" s="25"/>
      <c r="BJ365" s="24"/>
      <c r="BK365" s="24"/>
      <c r="BL365" s="25"/>
      <c r="BM365" s="25"/>
      <c r="BN365" s="25"/>
    </row>
    <row r="366" spans="1:66" ht="13.5" customHeight="1" x14ac:dyDescent="0.2">
      <c r="A366" s="22"/>
      <c r="B366" s="23"/>
      <c r="C366" s="23"/>
      <c r="D366" s="24"/>
      <c r="E366" s="24"/>
      <c r="F366" s="24"/>
      <c r="G366" s="24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7"/>
      <c r="AN366" s="25"/>
      <c r="AO366" s="25"/>
      <c r="AP366" s="28"/>
      <c r="AQ366" s="25"/>
      <c r="AR366" s="25"/>
      <c r="AS366" s="28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F366" s="25"/>
      <c r="BG366" s="25"/>
      <c r="BH366" s="25"/>
      <c r="BI366" s="25"/>
      <c r="BJ366" s="24"/>
      <c r="BK366" s="24"/>
      <c r="BL366" s="25"/>
      <c r="BM366" s="25"/>
      <c r="BN366" s="25"/>
    </row>
    <row r="367" spans="1:66" ht="13.5" customHeight="1" x14ac:dyDescent="0.2">
      <c r="A367" s="22"/>
      <c r="B367" s="23"/>
      <c r="C367" s="23"/>
      <c r="D367" s="24"/>
      <c r="E367" s="24"/>
      <c r="F367" s="24"/>
      <c r="G367" s="24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7"/>
      <c r="AN367" s="25"/>
      <c r="AO367" s="25"/>
      <c r="AP367" s="28"/>
      <c r="AQ367" s="25"/>
      <c r="AR367" s="25"/>
      <c r="AS367" s="28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F367" s="25"/>
      <c r="BG367" s="25"/>
      <c r="BH367" s="25"/>
      <c r="BI367" s="25"/>
      <c r="BJ367" s="24"/>
      <c r="BK367" s="24"/>
      <c r="BL367" s="25"/>
      <c r="BM367" s="25"/>
      <c r="BN367" s="25"/>
    </row>
    <row r="368" spans="1:66" ht="13.5" customHeight="1" x14ac:dyDescent="0.2">
      <c r="A368" s="22"/>
      <c r="B368" s="23"/>
      <c r="C368" s="23"/>
      <c r="D368" s="24"/>
      <c r="E368" s="24"/>
      <c r="F368" s="24"/>
      <c r="G368" s="24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7"/>
      <c r="AN368" s="25"/>
      <c r="AO368" s="25"/>
      <c r="AP368" s="28"/>
      <c r="AQ368" s="25"/>
      <c r="AR368" s="25"/>
      <c r="AS368" s="28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F368" s="25"/>
      <c r="BG368" s="25"/>
      <c r="BH368" s="25"/>
      <c r="BI368" s="25"/>
      <c r="BJ368" s="24"/>
      <c r="BK368" s="24"/>
      <c r="BL368" s="25"/>
      <c r="BM368" s="25"/>
      <c r="BN368" s="25"/>
    </row>
    <row r="369" spans="1:66" ht="13.5" customHeight="1" x14ac:dyDescent="0.2">
      <c r="A369" s="22"/>
      <c r="B369" s="23"/>
      <c r="C369" s="23"/>
      <c r="D369" s="24"/>
      <c r="E369" s="24"/>
      <c r="F369" s="24"/>
      <c r="G369" s="24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7"/>
      <c r="AN369" s="25"/>
      <c r="AO369" s="25"/>
      <c r="AP369" s="28"/>
      <c r="AQ369" s="25"/>
      <c r="AR369" s="25"/>
      <c r="AS369" s="28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F369" s="25"/>
      <c r="BG369" s="25"/>
      <c r="BH369" s="25"/>
      <c r="BI369" s="25"/>
      <c r="BJ369" s="24"/>
      <c r="BK369" s="24"/>
      <c r="BL369" s="25"/>
      <c r="BM369" s="25"/>
      <c r="BN369" s="25"/>
    </row>
    <row r="370" spans="1:66" ht="13.5" customHeight="1" x14ac:dyDescent="0.2">
      <c r="A370" s="22"/>
      <c r="B370" s="23"/>
      <c r="C370" s="23"/>
      <c r="D370" s="24"/>
      <c r="E370" s="24"/>
      <c r="F370" s="24"/>
      <c r="G370" s="24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7"/>
      <c r="AN370" s="25"/>
      <c r="AO370" s="25"/>
      <c r="AP370" s="28"/>
      <c r="AQ370" s="25"/>
      <c r="AR370" s="25"/>
      <c r="AS370" s="28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F370" s="25"/>
      <c r="BG370" s="25"/>
      <c r="BH370" s="25"/>
      <c r="BI370" s="25"/>
      <c r="BJ370" s="24"/>
      <c r="BK370" s="24"/>
      <c r="BL370" s="25"/>
      <c r="BM370" s="25"/>
      <c r="BN370" s="25"/>
    </row>
    <row r="371" spans="1:66" ht="13.5" customHeight="1" x14ac:dyDescent="0.2">
      <c r="A371" s="22"/>
      <c r="B371" s="23"/>
      <c r="C371" s="23"/>
      <c r="D371" s="24"/>
      <c r="E371" s="24"/>
      <c r="F371" s="24"/>
      <c r="G371" s="24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7"/>
      <c r="AN371" s="25"/>
      <c r="AO371" s="25"/>
      <c r="AP371" s="28"/>
      <c r="AQ371" s="25"/>
      <c r="AR371" s="25"/>
      <c r="AS371" s="28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F371" s="25"/>
      <c r="BG371" s="25"/>
      <c r="BH371" s="25"/>
      <c r="BI371" s="25"/>
      <c r="BJ371" s="24"/>
      <c r="BK371" s="24"/>
      <c r="BL371" s="25"/>
      <c r="BM371" s="25"/>
      <c r="BN371" s="25"/>
    </row>
    <row r="372" spans="1:66" ht="13.5" customHeight="1" x14ac:dyDescent="0.2">
      <c r="A372" s="22"/>
      <c r="B372" s="23"/>
      <c r="C372" s="23"/>
      <c r="D372" s="24"/>
      <c r="E372" s="24"/>
      <c r="F372" s="24"/>
      <c r="G372" s="24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7"/>
      <c r="AN372" s="25"/>
      <c r="AO372" s="25"/>
      <c r="AP372" s="28"/>
      <c r="AQ372" s="25"/>
      <c r="AR372" s="25"/>
      <c r="AS372" s="28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F372" s="25"/>
      <c r="BG372" s="25"/>
      <c r="BH372" s="25"/>
      <c r="BI372" s="25"/>
      <c r="BJ372" s="24"/>
      <c r="BK372" s="24"/>
      <c r="BL372" s="25"/>
      <c r="BM372" s="25"/>
      <c r="BN372" s="25"/>
    </row>
    <row r="373" spans="1:66" ht="13.5" customHeight="1" x14ac:dyDescent="0.2">
      <c r="A373" s="22"/>
      <c r="B373" s="23"/>
      <c r="C373" s="23"/>
      <c r="D373" s="24"/>
      <c r="E373" s="24"/>
      <c r="F373" s="24"/>
      <c r="G373" s="24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7"/>
      <c r="AN373" s="25"/>
      <c r="AO373" s="25"/>
      <c r="AP373" s="28"/>
      <c r="AQ373" s="25"/>
      <c r="AR373" s="25"/>
      <c r="AS373" s="28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F373" s="25"/>
      <c r="BG373" s="25"/>
      <c r="BH373" s="25"/>
      <c r="BI373" s="25"/>
      <c r="BJ373" s="24"/>
      <c r="BK373" s="24"/>
      <c r="BL373" s="25"/>
      <c r="BM373" s="25"/>
      <c r="BN373" s="25"/>
    </row>
    <row r="374" spans="1:66" ht="13.5" customHeight="1" x14ac:dyDescent="0.2">
      <c r="A374" s="22"/>
      <c r="B374" s="23"/>
      <c r="C374" s="23"/>
      <c r="D374" s="24"/>
      <c r="E374" s="24"/>
      <c r="F374" s="24"/>
      <c r="G374" s="24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7"/>
      <c r="AN374" s="25"/>
      <c r="AO374" s="25"/>
      <c r="AP374" s="28"/>
      <c r="AQ374" s="25"/>
      <c r="AR374" s="25"/>
      <c r="AS374" s="28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F374" s="25"/>
      <c r="BG374" s="25"/>
      <c r="BH374" s="25"/>
      <c r="BI374" s="25"/>
      <c r="BJ374" s="24"/>
      <c r="BK374" s="24"/>
      <c r="BL374" s="25"/>
      <c r="BM374" s="25"/>
      <c r="BN374" s="25"/>
    </row>
    <row r="375" spans="1:66" ht="13.5" customHeight="1" x14ac:dyDescent="0.2">
      <c r="A375" s="22"/>
      <c r="B375" s="23"/>
      <c r="C375" s="23"/>
      <c r="D375" s="24"/>
      <c r="E375" s="24"/>
      <c r="F375" s="24"/>
      <c r="G375" s="24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7"/>
      <c r="AN375" s="25"/>
      <c r="AO375" s="25"/>
      <c r="AP375" s="28"/>
      <c r="AQ375" s="25"/>
      <c r="AR375" s="25"/>
      <c r="AS375" s="28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F375" s="25"/>
      <c r="BG375" s="25"/>
      <c r="BH375" s="25"/>
      <c r="BI375" s="25"/>
      <c r="BJ375" s="24"/>
      <c r="BK375" s="24"/>
      <c r="BL375" s="25"/>
      <c r="BM375" s="25"/>
      <c r="BN375" s="25"/>
    </row>
    <row r="376" spans="1:66" ht="13.5" customHeight="1" x14ac:dyDescent="0.2">
      <c r="A376" s="22"/>
      <c r="B376" s="23"/>
      <c r="C376" s="23"/>
      <c r="D376" s="24"/>
      <c r="E376" s="24"/>
      <c r="F376" s="24"/>
      <c r="G376" s="24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7"/>
      <c r="AN376" s="25"/>
      <c r="AO376" s="25"/>
      <c r="AP376" s="28"/>
      <c r="AQ376" s="25"/>
      <c r="AR376" s="25"/>
      <c r="AS376" s="28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F376" s="25"/>
      <c r="BG376" s="25"/>
      <c r="BH376" s="25"/>
      <c r="BI376" s="25"/>
      <c r="BJ376" s="24"/>
      <c r="BK376" s="24"/>
      <c r="BL376" s="25"/>
      <c r="BM376" s="25"/>
      <c r="BN376" s="25"/>
    </row>
    <row r="377" spans="1:66" ht="13.5" customHeight="1" x14ac:dyDescent="0.2">
      <c r="A377" s="22"/>
      <c r="B377" s="23"/>
      <c r="C377" s="23"/>
      <c r="D377" s="24"/>
      <c r="E377" s="24"/>
      <c r="F377" s="24"/>
      <c r="G377" s="24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7"/>
      <c r="AN377" s="25"/>
      <c r="AO377" s="25"/>
      <c r="AP377" s="28"/>
      <c r="AQ377" s="25"/>
      <c r="AR377" s="25"/>
      <c r="AS377" s="28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F377" s="25"/>
      <c r="BG377" s="25"/>
      <c r="BH377" s="25"/>
      <c r="BI377" s="25"/>
      <c r="BJ377" s="24"/>
      <c r="BK377" s="24"/>
      <c r="BL377" s="25"/>
      <c r="BM377" s="25"/>
      <c r="BN377" s="25"/>
    </row>
    <row r="378" spans="1:66" ht="13.5" customHeight="1" x14ac:dyDescent="0.2">
      <c r="A378" s="22"/>
      <c r="B378" s="23"/>
      <c r="C378" s="23"/>
      <c r="D378" s="24"/>
      <c r="E378" s="24"/>
      <c r="F378" s="24"/>
      <c r="G378" s="24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7"/>
      <c r="AN378" s="25"/>
      <c r="AO378" s="25"/>
      <c r="AP378" s="28"/>
      <c r="AQ378" s="25"/>
      <c r="AR378" s="25"/>
      <c r="AS378" s="28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F378" s="25"/>
      <c r="BG378" s="25"/>
      <c r="BH378" s="25"/>
      <c r="BI378" s="25"/>
      <c r="BJ378" s="24"/>
      <c r="BK378" s="24"/>
      <c r="BL378" s="25"/>
      <c r="BM378" s="25"/>
      <c r="BN378" s="25"/>
    </row>
    <row r="379" spans="1:66" ht="13.5" customHeight="1" x14ac:dyDescent="0.2">
      <c r="A379" s="22"/>
      <c r="B379" s="23"/>
      <c r="C379" s="23"/>
      <c r="D379" s="24"/>
      <c r="E379" s="24"/>
      <c r="F379" s="24"/>
      <c r="G379" s="24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7"/>
      <c r="AN379" s="25"/>
      <c r="AO379" s="25"/>
      <c r="AP379" s="28"/>
      <c r="AQ379" s="25"/>
      <c r="AR379" s="25"/>
      <c r="AS379" s="28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F379" s="25"/>
      <c r="BG379" s="25"/>
      <c r="BH379" s="25"/>
      <c r="BI379" s="25"/>
      <c r="BJ379" s="24"/>
      <c r="BK379" s="24"/>
      <c r="BL379" s="25"/>
      <c r="BM379" s="25"/>
      <c r="BN379" s="25"/>
    </row>
    <row r="380" spans="1:66" ht="13.5" customHeight="1" x14ac:dyDescent="0.2">
      <c r="A380" s="22"/>
      <c r="B380" s="23"/>
      <c r="C380" s="23"/>
      <c r="D380" s="24"/>
      <c r="E380" s="24"/>
      <c r="F380" s="24"/>
      <c r="G380" s="24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7"/>
      <c r="AN380" s="25"/>
      <c r="AO380" s="25"/>
      <c r="AP380" s="28"/>
      <c r="AQ380" s="25"/>
      <c r="AR380" s="25"/>
      <c r="AS380" s="28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F380" s="25"/>
      <c r="BG380" s="25"/>
      <c r="BH380" s="25"/>
      <c r="BI380" s="25"/>
      <c r="BJ380" s="24"/>
      <c r="BK380" s="24"/>
      <c r="BL380" s="25"/>
      <c r="BM380" s="25"/>
      <c r="BN380" s="25"/>
    </row>
    <row r="381" spans="1:66" ht="13.5" customHeight="1" x14ac:dyDescent="0.2">
      <c r="A381" s="22"/>
      <c r="B381" s="23"/>
      <c r="C381" s="23"/>
      <c r="D381" s="24"/>
      <c r="E381" s="24"/>
      <c r="F381" s="24"/>
      <c r="G381" s="24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7"/>
      <c r="AN381" s="25"/>
      <c r="AO381" s="25"/>
      <c r="AP381" s="28"/>
      <c r="AQ381" s="25"/>
      <c r="AR381" s="25"/>
      <c r="AS381" s="28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F381" s="25"/>
      <c r="BG381" s="25"/>
      <c r="BH381" s="25"/>
      <c r="BI381" s="25"/>
      <c r="BJ381" s="24"/>
      <c r="BK381" s="24"/>
      <c r="BL381" s="25"/>
      <c r="BM381" s="25"/>
      <c r="BN381" s="25"/>
    </row>
    <row r="382" spans="1:66" ht="13.5" customHeight="1" x14ac:dyDescent="0.2">
      <c r="A382" s="22"/>
      <c r="B382" s="23"/>
      <c r="C382" s="23"/>
      <c r="D382" s="24"/>
      <c r="E382" s="24"/>
      <c r="F382" s="24"/>
      <c r="G382" s="24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7"/>
      <c r="AN382" s="25"/>
      <c r="AO382" s="25"/>
      <c r="AP382" s="28"/>
      <c r="AQ382" s="25"/>
      <c r="AR382" s="25"/>
      <c r="AS382" s="28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F382" s="25"/>
      <c r="BG382" s="25"/>
      <c r="BH382" s="25"/>
      <c r="BI382" s="25"/>
      <c r="BJ382" s="24"/>
      <c r="BK382" s="24"/>
      <c r="BL382" s="25"/>
      <c r="BM382" s="25"/>
      <c r="BN382" s="25"/>
    </row>
    <row r="383" spans="1:66" ht="13.5" customHeight="1" x14ac:dyDescent="0.2">
      <c r="A383" s="22"/>
      <c r="B383" s="23"/>
      <c r="C383" s="23"/>
      <c r="D383" s="24"/>
      <c r="E383" s="24"/>
      <c r="F383" s="24"/>
      <c r="G383" s="24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7"/>
      <c r="AN383" s="25"/>
      <c r="AO383" s="25"/>
      <c r="AP383" s="28"/>
      <c r="AQ383" s="25"/>
      <c r="AR383" s="25"/>
      <c r="AS383" s="28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F383" s="25"/>
      <c r="BG383" s="25"/>
      <c r="BH383" s="25"/>
      <c r="BI383" s="25"/>
      <c r="BJ383" s="24"/>
      <c r="BK383" s="24"/>
      <c r="BL383" s="25"/>
      <c r="BM383" s="25"/>
      <c r="BN383" s="25"/>
    </row>
    <row r="384" spans="1:66" ht="13.5" customHeight="1" x14ac:dyDescent="0.2">
      <c r="A384" s="22"/>
      <c r="B384" s="23"/>
      <c r="C384" s="23"/>
      <c r="D384" s="24"/>
      <c r="E384" s="24"/>
      <c r="F384" s="24"/>
      <c r="G384" s="24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7"/>
      <c r="AN384" s="25"/>
      <c r="AO384" s="25"/>
      <c r="AP384" s="28"/>
      <c r="AQ384" s="25"/>
      <c r="AR384" s="25"/>
      <c r="AS384" s="28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F384" s="25"/>
      <c r="BG384" s="25"/>
      <c r="BH384" s="25"/>
      <c r="BI384" s="25"/>
      <c r="BJ384" s="24"/>
      <c r="BK384" s="24"/>
      <c r="BL384" s="25"/>
      <c r="BM384" s="25"/>
      <c r="BN384" s="25"/>
    </row>
    <row r="385" spans="1:66" ht="13.5" customHeight="1" x14ac:dyDescent="0.2">
      <c r="A385" s="22"/>
      <c r="B385" s="23"/>
      <c r="C385" s="23"/>
      <c r="D385" s="24"/>
      <c r="E385" s="24"/>
      <c r="F385" s="24"/>
      <c r="G385" s="24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7"/>
      <c r="AN385" s="25"/>
      <c r="AO385" s="25"/>
      <c r="AP385" s="28"/>
      <c r="AQ385" s="25"/>
      <c r="AR385" s="25"/>
      <c r="AS385" s="28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F385" s="25"/>
      <c r="BG385" s="25"/>
      <c r="BH385" s="25"/>
      <c r="BI385" s="25"/>
      <c r="BJ385" s="24"/>
      <c r="BK385" s="24"/>
      <c r="BL385" s="25"/>
      <c r="BM385" s="25"/>
      <c r="BN385" s="25"/>
    </row>
    <row r="386" spans="1:66" ht="13.5" customHeight="1" x14ac:dyDescent="0.2">
      <c r="A386" s="22"/>
      <c r="B386" s="23"/>
      <c r="C386" s="23"/>
      <c r="D386" s="24"/>
      <c r="E386" s="24"/>
      <c r="F386" s="24"/>
      <c r="G386" s="24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7"/>
      <c r="AN386" s="25"/>
      <c r="AO386" s="25"/>
      <c r="AP386" s="28"/>
      <c r="AQ386" s="25"/>
      <c r="AR386" s="25"/>
      <c r="AS386" s="28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F386" s="25"/>
      <c r="BG386" s="25"/>
      <c r="BH386" s="25"/>
      <c r="BI386" s="25"/>
      <c r="BJ386" s="24"/>
      <c r="BK386" s="24"/>
      <c r="BL386" s="25"/>
      <c r="BM386" s="25"/>
      <c r="BN386" s="25"/>
    </row>
    <row r="387" spans="1:66" ht="13.5" customHeight="1" x14ac:dyDescent="0.2">
      <c r="A387" s="22"/>
      <c r="B387" s="23"/>
      <c r="C387" s="23"/>
      <c r="D387" s="24"/>
      <c r="E387" s="24"/>
      <c r="F387" s="24"/>
      <c r="G387" s="24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7"/>
      <c r="AN387" s="25"/>
      <c r="AO387" s="25"/>
      <c r="AP387" s="28"/>
      <c r="AQ387" s="25"/>
      <c r="AR387" s="25"/>
      <c r="AS387" s="28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F387" s="25"/>
      <c r="BG387" s="25"/>
      <c r="BH387" s="25"/>
      <c r="BI387" s="25"/>
      <c r="BJ387" s="24"/>
      <c r="BK387" s="24"/>
      <c r="BL387" s="25"/>
      <c r="BM387" s="25"/>
      <c r="BN387" s="25"/>
    </row>
    <row r="388" spans="1:66" ht="13.5" customHeight="1" x14ac:dyDescent="0.2">
      <c r="A388" s="22"/>
      <c r="B388" s="23"/>
      <c r="C388" s="23"/>
      <c r="D388" s="24"/>
      <c r="E388" s="24"/>
      <c r="F388" s="24"/>
      <c r="G388" s="24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7"/>
      <c r="AN388" s="25"/>
      <c r="AO388" s="25"/>
      <c r="AP388" s="28"/>
      <c r="AQ388" s="25"/>
      <c r="AR388" s="25"/>
      <c r="AS388" s="28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F388" s="25"/>
      <c r="BG388" s="25"/>
      <c r="BH388" s="25"/>
      <c r="BI388" s="25"/>
      <c r="BJ388" s="24"/>
      <c r="BK388" s="24"/>
      <c r="BL388" s="25"/>
      <c r="BM388" s="25"/>
      <c r="BN388" s="25"/>
    </row>
    <row r="389" spans="1:66" ht="13.5" customHeight="1" x14ac:dyDescent="0.2">
      <c r="A389" s="22"/>
      <c r="B389" s="23"/>
      <c r="C389" s="23"/>
      <c r="D389" s="24"/>
      <c r="E389" s="24"/>
      <c r="F389" s="24"/>
      <c r="G389" s="24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7"/>
      <c r="AN389" s="25"/>
      <c r="AO389" s="25"/>
      <c r="AP389" s="28"/>
      <c r="AQ389" s="25"/>
      <c r="AR389" s="25"/>
      <c r="AS389" s="28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F389" s="25"/>
      <c r="BG389" s="25"/>
      <c r="BH389" s="25"/>
      <c r="BI389" s="25"/>
      <c r="BJ389" s="24"/>
      <c r="BK389" s="24"/>
      <c r="BL389" s="25"/>
      <c r="BM389" s="25"/>
      <c r="BN389" s="25"/>
    </row>
    <row r="390" spans="1:66" ht="13.5" customHeight="1" x14ac:dyDescent="0.2">
      <c r="A390" s="22"/>
      <c r="B390" s="23"/>
      <c r="C390" s="23"/>
      <c r="D390" s="24"/>
      <c r="E390" s="24"/>
      <c r="F390" s="24"/>
      <c r="G390" s="24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7"/>
      <c r="AN390" s="25"/>
      <c r="AO390" s="25"/>
      <c r="AP390" s="28"/>
      <c r="AQ390" s="25"/>
      <c r="AR390" s="25"/>
      <c r="AS390" s="28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F390" s="25"/>
      <c r="BG390" s="25"/>
      <c r="BH390" s="25"/>
      <c r="BI390" s="25"/>
      <c r="BJ390" s="24"/>
      <c r="BK390" s="24"/>
      <c r="BL390" s="25"/>
      <c r="BM390" s="25"/>
      <c r="BN390" s="25"/>
    </row>
    <row r="391" spans="1:66" ht="13.5" customHeight="1" x14ac:dyDescent="0.2">
      <c r="A391" s="22"/>
      <c r="B391" s="23"/>
      <c r="C391" s="23"/>
      <c r="D391" s="24"/>
      <c r="E391" s="24"/>
      <c r="F391" s="24"/>
      <c r="G391" s="24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7"/>
      <c r="AN391" s="25"/>
      <c r="AO391" s="25"/>
      <c r="AP391" s="28"/>
      <c r="AQ391" s="25"/>
      <c r="AR391" s="25"/>
      <c r="AS391" s="28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F391" s="25"/>
      <c r="BG391" s="25"/>
      <c r="BH391" s="25"/>
      <c r="BI391" s="25"/>
      <c r="BJ391" s="24"/>
      <c r="BK391" s="24"/>
      <c r="BL391" s="25"/>
      <c r="BM391" s="25"/>
      <c r="BN391" s="25"/>
    </row>
    <row r="392" spans="1:66" ht="13.5" customHeight="1" x14ac:dyDescent="0.2">
      <c r="A392" s="22"/>
      <c r="B392" s="23"/>
      <c r="C392" s="23"/>
      <c r="D392" s="24"/>
      <c r="E392" s="24"/>
      <c r="F392" s="24"/>
      <c r="G392" s="24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7"/>
      <c r="AN392" s="25"/>
      <c r="AO392" s="25"/>
      <c r="AP392" s="28"/>
      <c r="AQ392" s="25"/>
      <c r="AR392" s="25"/>
      <c r="AS392" s="28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F392" s="25"/>
      <c r="BG392" s="25"/>
      <c r="BH392" s="25"/>
      <c r="BI392" s="25"/>
      <c r="BJ392" s="24"/>
      <c r="BK392" s="24"/>
      <c r="BL392" s="25"/>
      <c r="BM392" s="25"/>
      <c r="BN392" s="25"/>
    </row>
    <row r="393" spans="1:66" ht="13.5" customHeight="1" x14ac:dyDescent="0.2">
      <c r="A393" s="22"/>
      <c r="B393" s="23"/>
      <c r="C393" s="23"/>
      <c r="D393" s="24"/>
      <c r="E393" s="24"/>
      <c r="F393" s="24"/>
      <c r="G393" s="24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7"/>
      <c r="AN393" s="25"/>
      <c r="AO393" s="25"/>
      <c r="AP393" s="28"/>
      <c r="AQ393" s="25"/>
      <c r="AR393" s="25"/>
      <c r="AS393" s="28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F393" s="25"/>
      <c r="BG393" s="25"/>
      <c r="BH393" s="25"/>
      <c r="BI393" s="25"/>
      <c r="BJ393" s="24"/>
      <c r="BK393" s="24"/>
      <c r="BL393" s="25"/>
      <c r="BM393" s="25"/>
      <c r="BN393" s="25"/>
    </row>
    <row r="394" spans="1:66" ht="13.5" customHeight="1" x14ac:dyDescent="0.2">
      <c r="A394" s="22"/>
      <c r="B394" s="23"/>
      <c r="C394" s="23"/>
      <c r="D394" s="24"/>
      <c r="E394" s="24"/>
      <c r="F394" s="24"/>
      <c r="G394" s="24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7"/>
      <c r="AN394" s="25"/>
      <c r="AO394" s="25"/>
      <c r="AP394" s="28"/>
      <c r="AQ394" s="25"/>
      <c r="AR394" s="25"/>
      <c r="AS394" s="28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F394" s="25"/>
      <c r="BG394" s="25"/>
      <c r="BH394" s="25"/>
      <c r="BI394" s="25"/>
      <c r="BJ394" s="24"/>
      <c r="BK394" s="24"/>
      <c r="BL394" s="25"/>
      <c r="BM394" s="25"/>
      <c r="BN394" s="25"/>
    </row>
    <row r="395" spans="1:66" ht="13.5" customHeight="1" x14ac:dyDescent="0.2">
      <c r="A395" s="22"/>
      <c r="B395" s="23"/>
      <c r="C395" s="23"/>
      <c r="D395" s="24"/>
      <c r="E395" s="24"/>
      <c r="F395" s="24"/>
      <c r="G395" s="24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7"/>
      <c r="AN395" s="25"/>
      <c r="AO395" s="25"/>
      <c r="AP395" s="28"/>
      <c r="AQ395" s="25"/>
      <c r="AR395" s="25"/>
      <c r="AS395" s="28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F395" s="25"/>
      <c r="BG395" s="25"/>
      <c r="BH395" s="25"/>
      <c r="BI395" s="25"/>
      <c r="BJ395" s="24"/>
      <c r="BK395" s="24"/>
      <c r="BL395" s="25"/>
      <c r="BM395" s="25"/>
      <c r="BN395" s="25"/>
    </row>
    <row r="396" spans="1:66" ht="13.5" customHeight="1" x14ac:dyDescent="0.2">
      <c r="A396" s="22"/>
      <c r="B396" s="23"/>
      <c r="C396" s="23"/>
      <c r="D396" s="24"/>
      <c r="E396" s="24"/>
      <c r="F396" s="24"/>
      <c r="G396" s="24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7"/>
      <c r="AN396" s="25"/>
      <c r="AO396" s="25"/>
      <c r="AP396" s="28"/>
      <c r="AQ396" s="25"/>
      <c r="AR396" s="25"/>
      <c r="AS396" s="28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F396" s="25"/>
      <c r="BG396" s="25"/>
      <c r="BH396" s="25"/>
      <c r="BI396" s="25"/>
      <c r="BJ396" s="24"/>
      <c r="BK396" s="24"/>
      <c r="BL396" s="25"/>
      <c r="BM396" s="25"/>
      <c r="BN396" s="25"/>
    </row>
    <row r="397" spans="1:66" ht="13.5" customHeight="1" x14ac:dyDescent="0.2">
      <c r="A397" s="22"/>
      <c r="B397" s="23"/>
      <c r="C397" s="23"/>
      <c r="D397" s="24"/>
      <c r="E397" s="24"/>
      <c r="F397" s="24"/>
      <c r="G397" s="24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7"/>
      <c r="AN397" s="25"/>
      <c r="AO397" s="25"/>
      <c r="AP397" s="28"/>
      <c r="AQ397" s="25"/>
      <c r="AR397" s="25"/>
      <c r="AS397" s="28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F397" s="25"/>
      <c r="BG397" s="25"/>
      <c r="BH397" s="25"/>
      <c r="BI397" s="25"/>
      <c r="BJ397" s="24"/>
      <c r="BK397" s="24"/>
      <c r="BL397" s="25"/>
      <c r="BM397" s="25"/>
      <c r="BN397" s="25"/>
    </row>
    <row r="398" spans="1:66" ht="13.5" customHeight="1" x14ac:dyDescent="0.2">
      <c r="A398" s="22"/>
      <c r="B398" s="23"/>
      <c r="C398" s="23"/>
      <c r="D398" s="24"/>
      <c r="E398" s="24"/>
      <c r="F398" s="24"/>
      <c r="G398" s="24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7"/>
      <c r="AN398" s="25"/>
      <c r="AO398" s="25"/>
      <c r="AP398" s="28"/>
      <c r="AQ398" s="25"/>
      <c r="AR398" s="25"/>
      <c r="AS398" s="28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F398" s="25"/>
      <c r="BG398" s="25"/>
      <c r="BH398" s="25"/>
      <c r="BI398" s="25"/>
      <c r="BJ398" s="24"/>
      <c r="BK398" s="24"/>
      <c r="BL398" s="25"/>
      <c r="BM398" s="25"/>
      <c r="BN398" s="25"/>
    </row>
    <row r="399" spans="1:66" ht="13.5" customHeight="1" x14ac:dyDescent="0.2">
      <c r="A399" s="22"/>
      <c r="B399" s="23"/>
      <c r="C399" s="23"/>
      <c r="D399" s="24"/>
      <c r="E399" s="24"/>
      <c r="F399" s="24"/>
      <c r="G399" s="24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7"/>
      <c r="AN399" s="25"/>
      <c r="AO399" s="25"/>
      <c r="AP399" s="28"/>
      <c r="AQ399" s="25"/>
      <c r="AR399" s="25"/>
      <c r="AS399" s="28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F399" s="25"/>
      <c r="BG399" s="25"/>
      <c r="BH399" s="25"/>
      <c r="BI399" s="25"/>
      <c r="BJ399" s="24"/>
      <c r="BK399" s="24"/>
      <c r="BL399" s="25"/>
      <c r="BM399" s="25"/>
      <c r="BN399" s="25"/>
    </row>
    <row r="400" spans="1:66" ht="13.5" customHeight="1" x14ac:dyDescent="0.2">
      <c r="A400" s="22"/>
      <c r="B400" s="23"/>
      <c r="C400" s="23"/>
      <c r="D400" s="24"/>
      <c r="E400" s="24"/>
      <c r="F400" s="24"/>
      <c r="G400" s="24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7"/>
      <c r="AN400" s="25"/>
      <c r="AO400" s="25"/>
      <c r="AP400" s="28"/>
      <c r="AQ400" s="25"/>
      <c r="AR400" s="25"/>
      <c r="AS400" s="28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F400" s="25"/>
      <c r="BG400" s="25"/>
      <c r="BH400" s="25"/>
      <c r="BI400" s="25"/>
      <c r="BJ400" s="24"/>
      <c r="BK400" s="24"/>
      <c r="BL400" s="25"/>
      <c r="BM400" s="25"/>
      <c r="BN400" s="25"/>
    </row>
    <row r="401" spans="1:66" ht="13.5" customHeight="1" x14ac:dyDescent="0.2">
      <c r="A401" s="22"/>
      <c r="B401" s="23"/>
      <c r="C401" s="23"/>
      <c r="D401" s="24"/>
      <c r="E401" s="24"/>
      <c r="F401" s="24"/>
      <c r="G401" s="24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7"/>
      <c r="AN401" s="25"/>
      <c r="AO401" s="25"/>
      <c r="AP401" s="28"/>
      <c r="AQ401" s="25"/>
      <c r="AR401" s="25"/>
      <c r="AS401" s="28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F401" s="25"/>
      <c r="BG401" s="25"/>
      <c r="BH401" s="25"/>
      <c r="BI401" s="25"/>
      <c r="BJ401" s="24"/>
      <c r="BK401" s="24"/>
      <c r="BL401" s="25"/>
      <c r="BM401" s="25"/>
      <c r="BN401" s="25"/>
    </row>
    <row r="402" spans="1:66" ht="13.5" customHeight="1" x14ac:dyDescent="0.2">
      <c r="A402" s="22"/>
      <c r="B402" s="23"/>
      <c r="C402" s="23"/>
      <c r="D402" s="24"/>
      <c r="E402" s="24"/>
      <c r="F402" s="24"/>
      <c r="G402" s="24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7"/>
      <c r="AN402" s="25"/>
      <c r="AO402" s="25"/>
      <c r="AP402" s="28"/>
      <c r="AQ402" s="25"/>
      <c r="AR402" s="25"/>
      <c r="AS402" s="28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F402" s="25"/>
      <c r="BG402" s="25"/>
      <c r="BH402" s="25"/>
      <c r="BI402" s="25"/>
      <c r="BJ402" s="24"/>
      <c r="BK402" s="24"/>
      <c r="BL402" s="25"/>
      <c r="BM402" s="25"/>
      <c r="BN402" s="25"/>
    </row>
    <row r="403" spans="1:66" ht="13.5" customHeight="1" x14ac:dyDescent="0.2">
      <c r="A403" s="22"/>
      <c r="B403" s="23"/>
      <c r="C403" s="23"/>
      <c r="D403" s="24"/>
      <c r="E403" s="24"/>
      <c r="F403" s="24"/>
      <c r="G403" s="24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7"/>
      <c r="AN403" s="25"/>
      <c r="AO403" s="25"/>
      <c r="AP403" s="28"/>
      <c r="AQ403" s="25"/>
      <c r="AR403" s="25"/>
      <c r="AS403" s="28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F403" s="25"/>
      <c r="BG403" s="25"/>
      <c r="BH403" s="25"/>
      <c r="BI403" s="25"/>
      <c r="BJ403" s="24"/>
      <c r="BK403" s="24"/>
      <c r="BL403" s="25"/>
      <c r="BM403" s="25"/>
      <c r="BN403" s="25"/>
    </row>
    <row r="404" spans="1:66" ht="13.5" customHeight="1" x14ac:dyDescent="0.2">
      <c r="A404" s="22"/>
      <c r="B404" s="23"/>
      <c r="C404" s="23"/>
      <c r="D404" s="24"/>
      <c r="E404" s="24"/>
      <c r="F404" s="24"/>
      <c r="G404" s="24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7"/>
      <c r="AN404" s="25"/>
      <c r="AO404" s="25"/>
      <c r="AP404" s="28"/>
      <c r="AQ404" s="25"/>
      <c r="AR404" s="25"/>
      <c r="AS404" s="28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F404" s="25"/>
      <c r="BG404" s="25"/>
      <c r="BH404" s="25"/>
      <c r="BI404" s="25"/>
      <c r="BJ404" s="24"/>
      <c r="BK404" s="24"/>
      <c r="BL404" s="25"/>
      <c r="BM404" s="25"/>
      <c r="BN404" s="25"/>
    </row>
    <row r="405" spans="1:66" ht="13.5" customHeight="1" x14ac:dyDescent="0.2">
      <c r="A405" s="22"/>
      <c r="B405" s="23"/>
      <c r="C405" s="23"/>
      <c r="D405" s="24"/>
      <c r="E405" s="24"/>
      <c r="F405" s="24"/>
      <c r="G405" s="24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7"/>
      <c r="AN405" s="25"/>
      <c r="AO405" s="25"/>
      <c r="AP405" s="28"/>
      <c r="AQ405" s="25"/>
      <c r="AR405" s="25"/>
      <c r="AS405" s="28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F405" s="25"/>
      <c r="BG405" s="25"/>
      <c r="BH405" s="25"/>
      <c r="BI405" s="25"/>
      <c r="BJ405" s="24"/>
      <c r="BK405" s="24"/>
      <c r="BL405" s="25"/>
      <c r="BM405" s="25"/>
      <c r="BN405" s="25"/>
    </row>
    <row r="406" spans="1:66" ht="13.5" customHeight="1" x14ac:dyDescent="0.2">
      <c r="A406" s="22"/>
      <c r="B406" s="23"/>
      <c r="C406" s="23"/>
      <c r="D406" s="24"/>
      <c r="E406" s="24"/>
      <c r="F406" s="24"/>
      <c r="G406" s="24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7"/>
      <c r="AN406" s="25"/>
      <c r="AO406" s="25"/>
      <c r="AP406" s="28"/>
      <c r="AQ406" s="25"/>
      <c r="AR406" s="25"/>
      <c r="AS406" s="28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F406" s="25"/>
      <c r="BG406" s="25"/>
      <c r="BH406" s="25"/>
      <c r="BI406" s="25"/>
      <c r="BJ406" s="24"/>
      <c r="BK406" s="24"/>
      <c r="BL406" s="25"/>
      <c r="BM406" s="25"/>
      <c r="BN406" s="25"/>
    </row>
    <row r="407" spans="1:66" ht="13.5" customHeight="1" x14ac:dyDescent="0.2">
      <c r="A407" s="22"/>
      <c r="B407" s="23"/>
      <c r="C407" s="23"/>
      <c r="D407" s="24"/>
      <c r="E407" s="24"/>
      <c r="F407" s="24"/>
      <c r="G407" s="24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7"/>
      <c r="AN407" s="25"/>
      <c r="AO407" s="25"/>
      <c r="AP407" s="28"/>
      <c r="AQ407" s="25"/>
      <c r="AR407" s="25"/>
      <c r="AS407" s="28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F407" s="25"/>
      <c r="BG407" s="25"/>
      <c r="BH407" s="25"/>
      <c r="BI407" s="25"/>
      <c r="BJ407" s="24"/>
      <c r="BK407" s="24"/>
      <c r="BL407" s="25"/>
      <c r="BM407" s="25"/>
      <c r="BN407" s="25"/>
    </row>
    <row r="408" spans="1:66" ht="13.5" customHeight="1" x14ac:dyDescent="0.2">
      <c r="A408" s="22"/>
      <c r="B408" s="23"/>
      <c r="C408" s="23"/>
      <c r="D408" s="24"/>
      <c r="E408" s="24"/>
      <c r="F408" s="24"/>
      <c r="G408" s="24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7"/>
      <c r="AN408" s="25"/>
      <c r="AO408" s="25"/>
      <c r="AP408" s="28"/>
      <c r="AQ408" s="25"/>
      <c r="AR408" s="25"/>
      <c r="AS408" s="28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F408" s="25"/>
      <c r="BG408" s="25"/>
      <c r="BH408" s="25"/>
      <c r="BI408" s="25"/>
      <c r="BJ408" s="24"/>
      <c r="BK408" s="24"/>
      <c r="BL408" s="25"/>
      <c r="BM408" s="25"/>
      <c r="BN408" s="25"/>
    </row>
    <row r="409" spans="1:66" ht="13.5" customHeight="1" x14ac:dyDescent="0.2">
      <c r="A409" s="22"/>
      <c r="B409" s="23"/>
      <c r="C409" s="23"/>
      <c r="D409" s="24"/>
      <c r="E409" s="24"/>
      <c r="F409" s="24"/>
      <c r="G409" s="24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7"/>
      <c r="AN409" s="25"/>
      <c r="AO409" s="25"/>
      <c r="AP409" s="28"/>
      <c r="AQ409" s="25"/>
      <c r="AR409" s="25"/>
      <c r="AS409" s="28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F409" s="25"/>
      <c r="BG409" s="25"/>
      <c r="BH409" s="25"/>
      <c r="BI409" s="25"/>
      <c r="BJ409" s="24"/>
      <c r="BK409" s="24"/>
      <c r="BL409" s="25"/>
      <c r="BM409" s="25"/>
      <c r="BN409" s="25"/>
    </row>
    <row r="410" spans="1:66" ht="13.5" customHeight="1" x14ac:dyDescent="0.2">
      <c r="A410" s="22"/>
      <c r="B410" s="23"/>
      <c r="C410" s="23"/>
      <c r="D410" s="24"/>
      <c r="E410" s="24"/>
      <c r="F410" s="24"/>
      <c r="G410" s="24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7"/>
      <c r="AN410" s="25"/>
      <c r="AO410" s="25"/>
      <c r="AP410" s="28"/>
      <c r="AQ410" s="25"/>
      <c r="AR410" s="25"/>
      <c r="AS410" s="28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F410" s="25"/>
      <c r="BG410" s="25"/>
      <c r="BH410" s="25"/>
      <c r="BI410" s="25"/>
      <c r="BJ410" s="24"/>
      <c r="BK410" s="24"/>
      <c r="BL410" s="25"/>
      <c r="BM410" s="25"/>
      <c r="BN410" s="25"/>
    </row>
    <row r="411" spans="1:66" ht="13.5" customHeight="1" x14ac:dyDescent="0.2">
      <c r="A411" s="22"/>
      <c r="B411" s="23"/>
      <c r="C411" s="23"/>
      <c r="D411" s="24"/>
      <c r="E411" s="24"/>
      <c r="F411" s="24"/>
      <c r="G411" s="24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7"/>
      <c r="AN411" s="25"/>
      <c r="AO411" s="25"/>
      <c r="AP411" s="28"/>
      <c r="AQ411" s="25"/>
      <c r="AR411" s="25"/>
      <c r="AS411" s="28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F411" s="25"/>
      <c r="BG411" s="25"/>
      <c r="BH411" s="25"/>
      <c r="BI411" s="25"/>
      <c r="BJ411" s="24"/>
      <c r="BK411" s="24"/>
      <c r="BL411" s="25"/>
      <c r="BM411" s="25"/>
      <c r="BN411" s="25"/>
    </row>
    <row r="412" spans="1:66" ht="13.5" customHeight="1" x14ac:dyDescent="0.2">
      <c r="A412" s="22"/>
      <c r="B412" s="23"/>
      <c r="C412" s="23"/>
      <c r="D412" s="24"/>
      <c r="E412" s="24"/>
      <c r="F412" s="24"/>
      <c r="G412" s="24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7"/>
      <c r="AN412" s="25"/>
      <c r="AO412" s="25"/>
      <c r="AP412" s="28"/>
      <c r="AQ412" s="25"/>
      <c r="AR412" s="25"/>
      <c r="AS412" s="28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F412" s="25"/>
      <c r="BG412" s="25"/>
      <c r="BH412" s="25"/>
      <c r="BI412" s="25"/>
      <c r="BJ412" s="24"/>
      <c r="BK412" s="24"/>
      <c r="BL412" s="25"/>
      <c r="BM412" s="25"/>
      <c r="BN412" s="25"/>
    </row>
    <row r="413" spans="1:66" ht="13.5" customHeight="1" x14ac:dyDescent="0.2">
      <c r="A413" s="22"/>
      <c r="B413" s="23"/>
      <c r="C413" s="23"/>
      <c r="D413" s="24"/>
      <c r="E413" s="24"/>
      <c r="F413" s="24"/>
      <c r="G413" s="24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7"/>
      <c r="AN413" s="25"/>
      <c r="AO413" s="25"/>
      <c r="AP413" s="28"/>
      <c r="AQ413" s="25"/>
      <c r="AR413" s="25"/>
      <c r="AS413" s="28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F413" s="25"/>
      <c r="BG413" s="25"/>
      <c r="BH413" s="25"/>
      <c r="BI413" s="25"/>
      <c r="BJ413" s="24"/>
      <c r="BK413" s="24"/>
      <c r="BL413" s="25"/>
      <c r="BM413" s="25"/>
      <c r="BN413" s="25"/>
    </row>
    <row r="414" spans="1:66" ht="13.5" customHeight="1" x14ac:dyDescent="0.2">
      <c r="A414" s="22"/>
      <c r="B414" s="23"/>
      <c r="C414" s="23"/>
      <c r="D414" s="24"/>
      <c r="E414" s="24"/>
      <c r="F414" s="24"/>
      <c r="G414" s="24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7"/>
      <c r="AN414" s="25"/>
      <c r="AO414" s="25"/>
      <c r="AP414" s="28"/>
      <c r="AQ414" s="25"/>
      <c r="AR414" s="25"/>
      <c r="AS414" s="28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F414" s="25"/>
      <c r="BG414" s="25"/>
      <c r="BH414" s="25"/>
      <c r="BI414" s="25"/>
      <c r="BJ414" s="24"/>
      <c r="BK414" s="24"/>
      <c r="BL414" s="25"/>
      <c r="BM414" s="25"/>
      <c r="BN414" s="25"/>
    </row>
    <row r="415" spans="1:66" ht="13.5" customHeight="1" x14ac:dyDescent="0.2">
      <c r="A415" s="22"/>
      <c r="B415" s="23"/>
      <c r="C415" s="23"/>
      <c r="D415" s="24"/>
      <c r="E415" s="24"/>
      <c r="F415" s="24"/>
      <c r="G415" s="24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7"/>
      <c r="AN415" s="25"/>
      <c r="AO415" s="25"/>
      <c r="AP415" s="28"/>
      <c r="AQ415" s="25"/>
      <c r="AR415" s="25"/>
      <c r="AS415" s="28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F415" s="25"/>
      <c r="BG415" s="25"/>
      <c r="BH415" s="25"/>
      <c r="BI415" s="25"/>
      <c r="BJ415" s="24"/>
      <c r="BK415" s="24"/>
      <c r="BL415" s="25"/>
      <c r="BM415" s="25"/>
      <c r="BN415" s="25"/>
    </row>
    <row r="416" spans="1:66" ht="13.5" customHeight="1" x14ac:dyDescent="0.2">
      <c r="A416" s="22"/>
      <c r="B416" s="23"/>
      <c r="C416" s="23"/>
      <c r="D416" s="24"/>
      <c r="E416" s="24"/>
      <c r="F416" s="24"/>
      <c r="G416" s="24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7"/>
      <c r="AN416" s="25"/>
      <c r="AO416" s="25"/>
      <c r="AP416" s="28"/>
      <c r="AQ416" s="25"/>
      <c r="AR416" s="25"/>
      <c r="AS416" s="28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F416" s="25"/>
      <c r="BG416" s="25"/>
      <c r="BH416" s="25"/>
      <c r="BI416" s="25"/>
      <c r="BJ416" s="24"/>
      <c r="BK416" s="24"/>
      <c r="BL416" s="25"/>
      <c r="BM416" s="25"/>
      <c r="BN416" s="25"/>
    </row>
    <row r="417" spans="1:66" ht="13.5" customHeight="1" x14ac:dyDescent="0.2">
      <c r="A417" s="22"/>
      <c r="B417" s="23"/>
      <c r="C417" s="23"/>
      <c r="D417" s="24"/>
      <c r="E417" s="24"/>
      <c r="F417" s="24"/>
      <c r="G417" s="24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7"/>
      <c r="AN417" s="25"/>
      <c r="AO417" s="25"/>
      <c r="AP417" s="28"/>
      <c r="AQ417" s="25"/>
      <c r="AR417" s="25"/>
      <c r="AS417" s="28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F417" s="25"/>
      <c r="BG417" s="25"/>
      <c r="BH417" s="25"/>
      <c r="BI417" s="25"/>
      <c r="BJ417" s="24"/>
      <c r="BK417" s="24"/>
      <c r="BL417" s="25"/>
      <c r="BM417" s="25"/>
      <c r="BN417" s="25"/>
    </row>
    <row r="418" spans="1:66" ht="13.5" customHeight="1" x14ac:dyDescent="0.2">
      <c r="A418" s="22"/>
      <c r="B418" s="23"/>
      <c r="C418" s="23"/>
      <c r="D418" s="24"/>
      <c r="E418" s="24"/>
      <c r="F418" s="24"/>
      <c r="G418" s="24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7"/>
      <c r="AN418" s="25"/>
      <c r="AO418" s="25"/>
      <c r="AP418" s="28"/>
      <c r="AQ418" s="25"/>
      <c r="AR418" s="25"/>
      <c r="AS418" s="28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F418" s="25"/>
      <c r="BG418" s="25"/>
      <c r="BH418" s="25"/>
      <c r="BI418" s="25"/>
      <c r="BJ418" s="24"/>
      <c r="BK418" s="24"/>
      <c r="BL418" s="25"/>
      <c r="BM418" s="25"/>
      <c r="BN418" s="25"/>
    </row>
    <row r="419" spans="1:66" ht="13.5" customHeight="1" x14ac:dyDescent="0.2">
      <c r="A419" s="22"/>
      <c r="B419" s="23"/>
      <c r="C419" s="23"/>
      <c r="D419" s="24"/>
      <c r="E419" s="24"/>
      <c r="F419" s="24"/>
      <c r="G419" s="24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7"/>
      <c r="AN419" s="25"/>
      <c r="AO419" s="25"/>
      <c r="AP419" s="28"/>
      <c r="AQ419" s="25"/>
      <c r="AR419" s="25"/>
      <c r="AS419" s="28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F419" s="25"/>
      <c r="BG419" s="25"/>
      <c r="BH419" s="25"/>
      <c r="BI419" s="25"/>
      <c r="BJ419" s="24"/>
      <c r="BK419" s="24"/>
      <c r="BL419" s="25"/>
      <c r="BM419" s="25"/>
      <c r="BN419" s="25"/>
    </row>
    <row r="420" spans="1:66" ht="13.5" customHeight="1" x14ac:dyDescent="0.2">
      <c r="A420" s="22"/>
      <c r="B420" s="23"/>
      <c r="C420" s="23"/>
      <c r="D420" s="24"/>
      <c r="E420" s="24"/>
      <c r="F420" s="24"/>
      <c r="G420" s="24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7"/>
      <c r="AN420" s="25"/>
      <c r="AO420" s="25"/>
      <c r="AP420" s="28"/>
      <c r="AQ420" s="25"/>
      <c r="AR420" s="25"/>
      <c r="AS420" s="28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F420" s="25"/>
      <c r="BG420" s="25"/>
      <c r="BH420" s="25"/>
      <c r="BI420" s="25"/>
      <c r="BJ420" s="24"/>
      <c r="BK420" s="24"/>
      <c r="BL420" s="25"/>
      <c r="BM420" s="25"/>
      <c r="BN420" s="25"/>
    </row>
    <row r="421" spans="1:66" ht="13.5" customHeight="1" x14ac:dyDescent="0.2">
      <c r="A421" s="22"/>
      <c r="B421" s="23"/>
      <c r="C421" s="23"/>
      <c r="D421" s="24"/>
      <c r="E421" s="24"/>
      <c r="F421" s="24"/>
      <c r="G421" s="24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7"/>
      <c r="AN421" s="25"/>
      <c r="AO421" s="25"/>
      <c r="AP421" s="28"/>
      <c r="AQ421" s="25"/>
      <c r="AR421" s="25"/>
      <c r="AS421" s="28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F421" s="25"/>
      <c r="BG421" s="25"/>
      <c r="BH421" s="25"/>
      <c r="BI421" s="25"/>
      <c r="BJ421" s="24"/>
      <c r="BK421" s="24"/>
      <c r="BL421" s="25"/>
      <c r="BM421" s="25"/>
      <c r="BN421" s="25"/>
    </row>
    <row r="422" spans="1:66" ht="13.5" customHeight="1" x14ac:dyDescent="0.2">
      <c r="A422" s="22"/>
      <c r="B422" s="23"/>
      <c r="C422" s="23"/>
      <c r="D422" s="24"/>
      <c r="E422" s="24"/>
      <c r="F422" s="24"/>
      <c r="G422" s="24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7"/>
      <c r="AN422" s="25"/>
      <c r="AO422" s="25"/>
      <c r="AP422" s="28"/>
      <c r="AQ422" s="25"/>
      <c r="AR422" s="25"/>
      <c r="AS422" s="28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F422" s="25"/>
      <c r="BG422" s="25"/>
      <c r="BH422" s="25"/>
      <c r="BI422" s="25"/>
      <c r="BJ422" s="24"/>
      <c r="BK422" s="24"/>
      <c r="BL422" s="25"/>
      <c r="BM422" s="25"/>
      <c r="BN422" s="25"/>
    </row>
    <row r="423" spans="1:66" ht="13.5" customHeight="1" x14ac:dyDescent="0.2">
      <c r="A423" s="22"/>
      <c r="B423" s="23"/>
      <c r="C423" s="23"/>
      <c r="D423" s="24"/>
      <c r="E423" s="24"/>
      <c r="F423" s="24"/>
      <c r="G423" s="24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7"/>
      <c r="AN423" s="25"/>
      <c r="AO423" s="25"/>
      <c r="AP423" s="28"/>
      <c r="AQ423" s="25"/>
      <c r="AR423" s="25"/>
      <c r="AS423" s="28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F423" s="25"/>
      <c r="BG423" s="25"/>
      <c r="BH423" s="25"/>
      <c r="BI423" s="25"/>
      <c r="BJ423" s="24"/>
      <c r="BK423" s="24"/>
      <c r="BL423" s="25"/>
      <c r="BM423" s="25"/>
      <c r="BN423" s="25"/>
    </row>
    <row r="424" spans="1:66" ht="13.5" customHeight="1" x14ac:dyDescent="0.2">
      <c r="A424" s="22"/>
      <c r="B424" s="23"/>
      <c r="C424" s="23"/>
      <c r="D424" s="24"/>
      <c r="E424" s="24"/>
      <c r="F424" s="24"/>
      <c r="G424" s="24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7"/>
      <c r="AN424" s="25"/>
      <c r="AO424" s="25"/>
      <c r="AP424" s="28"/>
      <c r="AQ424" s="25"/>
      <c r="AR424" s="25"/>
      <c r="AS424" s="28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F424" s="25"/>
      <c r="BG424" s="25"/>
      <c r="BH424" s="25"/>
      <c r="BI424" s="25"/>
      <c r="BJ424" s="24"/>
      <c r="BK424" s="24"/>
      <c r="BL424" s="25"/>
      <c r="BM424" s="25"/>
      <c r="BN424" s="25"/>
    </row>
    <row r="425" spans="1:66" ht="13.5" customHeight="1" x14ac:dyDescent="0.2">
      <c r="A425" s="22"/>
      <c r="B425" s="23"/>
      <c r="C425" s="23"/>
      <c r="D425" s="24"/>
      <c r="E425" s="24"/>
      <c r="F425" s="24"/>
      <c r="G425" s="24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7"/>
      <c r="AN425" s="25"/>
      <c r="AO425" s="25"/>
      <c r="AP425" s="28"/>
      <c r="AQ425" s="25"/>
      <c r="AR425" s="25"/>
      <c r="AS425" s="28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F425" s="25"/>
      <c r="BG425" s="25"/>
      <c r="BH425" s="25"/>
      <c r="BI425" s="25"/>
      <c r="BJ425" s="24"/>
      <c r="BK425" s="24"/>
      <c r="BL425" s="25"/>
      <c r="BM425" s="25"/>
      <c r="BN425" s="25"/>
    </row>
    <row r="426" spans="1:66" ht="13.5" customHeight="1" x14ac:dyDescent="0.2">
      <c r="A426" s="22"/>
      <c r="B426" s="23"/>
      <c r="C426" s="23"/>
      <c r="D426" s="24"/>
      <c r="E426" s="24"/>
      <c r="F426" s="24"/>
      <c r="G426" s="24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7"/>
      <c r="AN426" s="25"/>
      <c r="AO426" s="25"/>
      <c r="AP426" s="28"/>
      <c r="AQ426" s="25"/>
      <c r="AR426" s="25"/>
      <c r="AS426" s="28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F426" s="25"/>
      <c r="BG426" s="25"/>
      <c r="BH426" s="25"/>
      <c r="BI426" s="25"/>
      <c r="BJ426" s="24"/>
      <c r="BK426" s="24"/>
      <c r="BL426" s="25"/>
      <c r="BM426" s="25"/>
      <c r="BN426" s="25"/>
    </row>
    <row r="427" spans="1:66" ht="13.5" customHeight="1" x14ac:dyDescent="0.2">
      <c r="A427" s="22"/>
      <c r="B427" s="23"/>
      <c r="C427" s="23"/>
      <c r="D427" s="24"/>
      <c r="E427" s="24"/>
      <c r="F427" s="24"/>
      <c r="G427" s="24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7"/>
      <c r="AN427" s="25"/>
      <c r="AO427" s="25"/>
      <c r="AP427" s="28"/>
      <c r="AQ427" s="25"/>
      <c r="AR427" s="25"/>
      <c r="AS427" s="28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F427" s="25"/>
      <c r="BG427" s="25"/>
      <c r="BH427" s="25"/>
      <c r="BI427" s="25"/>
      <c r="BJ427" s="24"/>
      <c r="BK427" s="24"/>
      <c r="BL427" s="25"/>
      <c r="BM427" s="25"/>
      <c r="BN427" s="25"/>
    </row>
    <row r="428" spans="1:66" ht="13.5" customHeight="1" x14ac:dyDescent="0.2">
      <c r="A428" s="22"/>
      <c r="B428" s="23"/>
      <c r="C428" s="23"/>
      <c r="D428" s="24"/>
      <c r="E428" s="24"/>
      <c r="F428" s="24"/>
      <c r="G428" s="24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7"/>
      <c r="AN428" s="25"/>
      <c r="AO428" s="25"/>
      <c r="AP428" s="28"/>
      <c r="AQ428" s="25"/>
      <c r="AR428" s="25"/>
      <c r="AS428" s="28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F428" s="25"/>
      <c r="BG428" s="25"/>
      <c r="BH428" s="25"/>
      <c r="BI428" s="25"/>
      <c r="BJ428" s="24"/>
      <c r="BK428" s="24"/>
      <c r="BL428" s="25"/>
      <c r="BM428" s="25"/>
      <c r="BN428" s="25"/>
    </row>
    <row r="429" spans="1:66" ht="13.5" customHeight="1" x14ac:dyDescent="0.2">
      <c r="A429" s="22"/>
      <c r="B429" s="23"/>
      <c r="C429" s="23"/>
      <c r="D429" s="24"/>
      <c r="E429" s="24"/>
      <c r="F429" s="24"/>
      <c r="G429" s="24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7"/>
      <c r="AN429" s="25"/>
      <c r="AO429" s="25"/>
      <c r="AP429" s="28"/>
      <c r="AQ429" s="25"/>
      <c r="AR429" s="25"/>
      <c r="AS429" s="28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F429" s="25"/>
      <c r="BG429" s="25"/>
      <c r="BH429" s="25"/>
      <c r="BI429" s="25"/>
      <c r="BJ429" s="24"/>
      <c r="BK429" s="24"/>
      <c r="BL429" s="25"/>
      <c r="BM429" s="25"/>
      <c r="BN429" s="25"/>
    </row>
    <row r="430" spans="1:66" ht="13.5" customHeight="1" x14ac:dyDescent="0.2">
      <c r="A430" s="22"/>
      <c r="B430" s="23"/>
      <c r="C430" s="23"/>
      <c r="D430" s="24"/>
      <c r="E430" s="24"/>
      <c r="F430" s="24"/>
      <c r="G430" s="24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7"/>
      <c r="AN430" s="25"/>
      <c r="AO430" s="25"/>
      <c r="AP430" s="28"/>
      <c r="AQ430" s="25"/>
      <c r="AR430" s="25"/>
      <c r="AS430" s="28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F430" s="25"/>
      <c r="BG430" s="25"/>
      <c r="BH430" s="25"/>
      <c r="BI430" s="25"/>
      <c r="BJ430" s="24"/>
      <c r="BK430" s="24"/>
      <c r="BL430" s="25"/>
      <c r="BM430" s="25"/>
      <c r="BN430" s="25"/>
    </row>
    <row r="431" spans="1:66" ht="13.5" customHeight="1" x14ac:dyDescent="0.2">
      <c r="A431" s="22"/>
      <c r="B431" s="23"/>
      <c r="C431" s="23"/>
      <c r="D431" s="24"/>
      <c r="E431" s="24"/>
      <c r="F431" s="24"/>
      <c r="G431" s="24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7"/>
      <c r="AN431" s="25"/>
      <c r="AO431" s="25"/>
      <c r="AP431" s="28"/>
      <c r="AQ431" s="25"/>
      <c r="AR431" s="25"/>
      <c r="AS431" s="28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F431" s="25"/>
      <c r="BG431" s="25"/>
      <c r="BH431" s="25"/>
      <c r="BI431" s="25"/>
      <c r="BJ431" s="24"/>
      <c r="BK431" s="24"/>
      <c r="BL431" s="25"/>
      <c r="BM431" s="25"/>
      <c r="BN431" s="25"/>
    </row>
    <row r="432" spans="1:66" ht="13.5" customHeight="1" x14ac:dyDescent="0.2">
      <c r="A432" s="22"/>
      <c r="B432" s="23"/>
      <c r="C432" s="23"/>
      <c r="D432" s="24"/>
      <c r="E432" s="24"/>
      <c r="F432" s="24"/>
      <c r="G432" s="24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7"/>
      <c r="AN432" s="25"/>
      <c r="AO432" s="25"/>
      <c r="AP432" s="28"/>
      <c r="AQ432" s="25"/>
      <c r="AR432" s="25"/>
      <c r="AS432" s="28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F432" s="25"/>
      <c r="BG432" s="25"/>
      <c r="BH432" s="25"/>
      <c r="BI432" s="25"/>
      <c r="BJ432" s="24"/>
      <c r="BK432" s="24"/>
      <c r="BL432" s="25"/>
      <c r="BM432" s="25"/>
      <c r="BN432" s="25"/>
    </row>
    <row r="433" spans="1:66" ht="13.5" customHeight="1" x14ac:dyDescent="0.2">
      <c r="A433" s="22"/>
      <c r="B433" s="23"/>
      <c r="C433" s="23"/>
      <c r="D433" s="24"/>
      <c r="E433" s="24"/>
      <c r="F433" s="24"/>
      <c r="G433" s="24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7"/>
      <c r="AN433" s="25"/>
      <c r="AO433" s="25"/>
      <c r="AP433" s="28"/>
      <c r="AQ433" s="25"/>
      <c r="AR433" s="25"/>
      <c r="AS433" s="28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F433" s="25"/>
      <c r="BG433" s="25"/>
      <c r="BH433" s="25"/>
      <c r="BI433" s="25"/>
      <c r="BJ433" s="24"/>
      <c r="BK433" s="24"/>
      <c r="BL433" s="25"/>
      <c r="BM433" s="25"/>
      <c r="BN433" s="25"/>
    </row>
    <row r="434" spans="1:66" ht="13.5" customHeight="1" x14ac:dyDescent="0.2">
      <c r="A434" s="22"/>
      <c r="B434" s="23"/>
      <c r="C434" s="23"/>
      <c r="D434" s="24"/>
      <c r="E434" s="24"/>
      <c r="F434" s="24"/>
      <c r="G434" s="24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7"/>
      <c r="AN434" s="25"/>
      <c r="AO434" s="25"/>
      <c r="AP434" s="28"/>
      <c r="AQ434" s="25"/>
      <c r="AR434" s="25"/>
      <c r="AS434" s="28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F434" s="25"/>
      <c r="BG434" s="25"/>
      <c r="BH434" s="25"/>
      <c r="BI434" s="25"/>
      <c r="BJ434" s="24"/>
      <c r="BK434" s="24"/>
      <c r="BL434" s="25"/>
      <c r="BM434" s="25"/>
      <c r="BN434" s="25"/>
    </row>
    <row r="435" spans="1:66" ht="13.5" customHeight="1" x14ac:dyDescent="0.2">
      <c r="A435" s="22"/>
      <c r="B435" s="23"/>
      <c r="C435" s="23"/>
      <c r="D435" s="24"/>
      <c r="E435" s="24"/>
      <c r="F435" s="24"/>
      <c r="G435" s="24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7"/>
      <c r="AN435" s="25"/>
      <c r="AO435" s="25"/>
      <c r="AP435" s="28"/>
      <c r="AQ435" s="25"/>
      <c r="AR435" s="25"/>
      <c r="AS435" s="28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F435" s="25"/>
      <c r="BG435" s="25"/>
      <c r="BH435" s="25"/>
      <c r="BI435" s="25"/>
      <c r="BJ435" s="24"/>
      <c r="BK435" s="24"/>
      <c r="BL435" s="25"/>
      <c r="BM435" s="25"/>
      <c r="BN435" s="25"/>
    </row>
    <row r="436" spans="1:66" ht="13.5" customHeight="1" x14ac:dyDescent="0.2">
      <c r="A436" s="22"/>
      <c r="B436" s="23"/>
      <c r="C436" s="23"/>
      <c r="D436" s="24"/>
      <c r="E436" s="24"/>
      <c r="F436" s="24"/>
      <c r="G436" s="24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7"/>
      <c r="AN436" s="25"/>
      <c r="AO436" s="25"/>
      <c r="AP436" s="28"/>
      <c r="AQ436" s="25"/>
      <c r="AR436" s="25"/>
      <c r="AS436" s="28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F436" s="25"/>
      <c r="BG436" s="25"/>
      <c r="BH436" s="25"/>
      <c r="BI436" s="25"/>
      <c r="BJ436" s="24"/>
      <c r="BK436" s="24"/>
      <c r="BL436" s="25"/>
      <c r="BM436" s="25"/>
      <c r="BN436" s="25"/>
    </row>
    <row r="437" spans="1:66" ht="13.5" customHeight="1" x14ac:dyDescent="0.2">
      <c r="A437" s="22"/>
      <c r="B437" s="23"/>
      <c r="C437" s="23"/>
      <c r="D437" s="24"/>
      <c r="E437" s="24"/>
      <c r="F437" s="24"/>
      <c r="G437" s="24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7"/>
      <c r="AN437" s="25"/>
      <c r="AO437" s="25"/>
      <c r="AP437" s="28"/>
      <c r="AQ437" s="25"/>
      <c r="AR437" s="25"/>
      <c r="AS437" s="28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F437" s="25"/>
      <c r="BG437" s="25"/>
      <c r="BH437" s="25"/>
      <c r="BI437" s="25"/>
      <c r="BJ437" s="24"/>
      <c r="BK437" s="24"/>
      <c r="BL437" s="25"/>
      <c r="BM437" s="25"/>
      <c r="BN437" s="25"/>
    </row>
    <row r="438" spans="1:66" ht="13.5" customHeight="1" x14ac:dyDescent="0.2">
      <c r="A438" s="22"/>
      <c r="B438" s="23"/>
      <c r="C438" s="23"/>
      <c r="D438" s="24"/>
      <c r="E438" s="24"/>
      <c r="F438" s="24"/>
      <c r="G438" s="24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7"/>
      <c r="AN438" s="25"/>
      <c r="AO438" s="25"/>
      <c r="AP438" s="28"/>
      <c r="AQ438" s="25"/>
      <c r="AR438" s="25"/>
      <c r="AS438" s="28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F438" s="25"/>
      <c r="BG438" s="25"/>
      <c r="BH438" s="25"/>
      <c r="BI438" s="25"/>
      <c r="BJ438" s="24"/>
      <c r="BK438" s="24"/>
      <c r="BL438" s="25"/>
      <c r="BM438" s="25"/>
      <c r="BN438" s="25"/>
    </row>
    <row r="439" spans="1:66" ht="13.5" customHeight="1" x14ac:dyDescent="0.2">
      <c r="A439" s="22"/>
      <c r="B439" s="23"/>
      <c r="C439" s="23"/>
      <c r="D439" s="24"/>
      <c r="E439" s="24"/>
      <c r="F439" s="24"/>
      <c r="G439" s="24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7"/>
      <c r="AN439" s="25"/>
      <c r="AO439" s="25"/>
      <c r="AP439" s="28"/>
      <c r="AQ439" s="25"/>
      <c r="AR439" s="25"/>
      <c r="AS439" s="28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F439" s="25"/>
      <c r="BG439" s="25"/>
      <c r="BH439" s="25"/>
      <c r="BI439" s="25"/>
      <c r="BJ439" s="24"/>
      <c r="BK439" s="24"/>
      <c r="BL439" s="25"/>
      <c r="BM439" s="25"/>
      <c r="BN439" s="25"/>
    </row>
    <row r="440" spans="1:66" ht="13.5" customHeight="1" x14ac:dyDescent="0.2">
      <c r="A440" s="22"/>
      <c r="B440" s="23"/>
      <c r="C440" s="23"/>
      <c r="D440" s="24"/>
      <c r="E440" s="24"/>
      <c r="F440" s="24"/>
      <c r="G440" s="24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7"/>
      <c r="AN440" s="25"/>
      <c r="AO440" s="25"/>
      <c r="AP440" s="28"/>
      <c r="AQ440" s="25"/>
      <c r="AR440" s="25"/>
      <c r="AS440" s="28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F440" s="25"/>
      <c r="BG440" s="25"/>
      <c r="BH440" s="25"/>
      <c r="BI440" s="25"/>
      <c r="BJ440" s="24"/>
      <c r="BK440" s="24"/>
      <c r="BL440" s="25"/>
      <c r="BM440" s="25"/>
      <c r="BN440" s="25"/>
    </row>
    <row r="441" spans="1:66" ht="13.5" customHeight="1" x14ac:dyDescent="0.2">
      <c r="A441" s="22"/>
      <c r="B441" s="23"/>
      <c r="C441" s="23"/>
      <c r="D441" s="24"/>
      <c r="E441" s="24"/>
      <c r="F441" s="24"/>
      <c r="G441" s="24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7"/>
      <c r="AN441" s="25"/>
      <c r="AO441" s="25"/>
      <c r="AP441" s="28"/>
      <c r="AQ441" s="25"/>
      <c r="AR441" s="25"/>
      <c r="AS441" s="28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F441" s="25"/>
      <c r="BG441" s="25"/>
      <c r="BH441" s="25"/>
      <c r="BI441" s="25"/>
      <c r="BJ441" s="24"/>
      <c r="BK441" s="24"/>
      <c r="BL441" s="25"/>
      <c r="BM441" s="25"/>
      <c r="BN441" s="25"/>
    </row>
    <row r="442" spans="1:66" ht="13.5" customHeight="1" x14ac:dyDescent="0.2">
      <c r="A442" s="22"/>
      <c r="B442" s="23"/>
      <c r="C442" s="23"/>
      <c r="D442" s="24"/>
      <c r="E442" s="24"/>
      <c r="F442" s="24"/>
      <c r="G442" s="24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7"/>
      <c r="AN442" s="25"/>
      <c r="AO442" s="25"/>
      <c r="AP442" s="28"/>
      <c r="AQ442" s="25"/>
      <c r="AR442" s="25"/>
      <c r="AS442" s="28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F442" s="25"/>
      <c r="BG442" s="25"/>
      <c r="BH442" s="25"/>
      <c r="BI442" s="25"/>
      <c r="BJ442" s="24"/>
      <c r="BK442" s="24"/>
      <c r="BL442" s="25"/>
      <c r="BM442" s="25"/>
      <c r="BN442" s="25"/>
    </row>
    <row r="443" spans="1:66" ht="13.5" customHeight="1" x14ac:dyDescent="0.2">
      <c r="A443" s="22"/>
      <c r="B443" s="23"/>
      <c r="C443" s="23"/>
      <c r="D443" s="24"/>
      <c r="E443" s="24"/>
      <c r="F443" s="24"/>
      <c r="G443" s="24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7"/>
      <c r="AN443" s="25"/>
      <c r="AO443" s="25"/>
      <c r="AP443" s="28"/>
      <c r="AQ443" s="25"/>
      <c r="AR443" s="25"/>
      <c r="AS443" s="28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F443" s="25"/>
      <c r="BG443" s="25"/>
      <c r="BH443" s="25"/>
      <c r="BI443" s="25"/>
      <c r="BJ443" s="24"/>
      <c r="BK443" s="24"/>
      <c r="BL443" s="25"/>
      <c r="BM443" s="25"/>
      <c r="BN443" s="25"/>
    </row>
    <row r="444" spans="1:66" ht="13.5" customHeight="1" x14ac:dyDescent="0.2">
      <c r="A444" s="22"/>
      <c r="B444" s="23"/>
      <c r="C444" s="23"/>
      <c r="D444" s="24"/>
      <c r="E444" s="24"/>
      <c r="F444" s="24"/>
      <c r="G444" s="24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7"/>
      <c r="AN444" s="25"/>
      <c r="AO444" s="25"/>
      <c r="AP444" s="28"/>
      <c r="AQ444" s="25"/>
      <c r="AR444" s="25"/>
      <c r="AS444" s="28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F444" s="25"/>
      <c r="BG444" s="25"/>
      <c r="BH444" s="25"/>
      <c r="BI444" s="25"/>
      <c r="BJ444" s="24"/>
      <c r="BK444" s="24"/>
      <c r="BL444" s="25"/>
      <c r="BM444" s="25"/>
      <c r="BN444" s="25"/>
    </row>
    <row r="445" spans="1:66" ht="13.5" customHeight="1" x14ac:dyDescent="0.2">
      <c r="A445" s="22"/>
      <c r="B445" s="23"/>
      <c r="C445" s="23"/>
      <c r="D445" s="24"/>
      <c r="E445" s="24"/>
      <c r="F445" s="24"/>
      <c r="G445" s="24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7"/>
      <c r="AN445" s="25"/>
      <c r="AO445" s="25"/>
      <c r="AP445" s="28"/>
      <c r="AQ445" s="25"/>
      <c r="AR445" s="25"/>
      <c r="AS445" s="28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F445" s="25"/>
      <c r="BG445" s="25"/>
      <c r="BH445" s="25"/>
      <c r="BI445" s="25"/>
      <c r="BJ445" s="24"/>
      <c r="BK445" s="24"/>
      <c r="BL445" s="25"/>
      <c r="BM445" s="25"/>
      <c r="BN445" s="25"/>
    </row>
    <row r="446" spans="1:66" ht="13.5" customHeight="1" x14ac:dyDescent="0.2">
      <c r="A446" s="22"/>
      <c r="B446" s="23"/>
      <c r="C446" s="23"/>
      <c r="D446" s="24"/>
      <c r="E446" s="24"/>
      <c r="F446" s="24"/>
      <c r="G446" s="24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7"/>
      <c r="AN446" s="25"/>
      <c r="AO446" s="25"/>
      <c r="AP446" s="28"/>
      <c r="AQ446" s="25"/>
      <c r="AR446" s="25"/>
      <c r="AS446" s="28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F446" s="25"/>
      <c r="BG446" s="25"/>
      <c r="BH446" s="25"/>
      <c r="BI446" s="25"/>
      <c r="BJ446" s="24"/>
      <c r="BK446" s="24"/>
      <c r="BL446" s="25"/>
      <c r="BM446" s="25"/>
      <c r="BN446" s="25"/>
    </row>
    <row r="447" spans="1:66" ht="13.5" customHeight="1" x14ac:dyDescent="0.2">
      <c r="A447" s="22"/>
      <c r="B447" s="23"/>
      <c r="C447" s="23"/>
      <c r="D447" s="24"/>
      <c r="E447" s="24"/>
      <c r="F447" s="24"/>
      <c r="G447" s="24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7"/>
      <c r="AN447" s="25"/>
      <c r="AO447" s="25"/>
      <c r="AP447" s="28"/>
      <c r="AQ447" s="25"/>
      <c r="AR447" s="25"/>
      <c r="AS447" s="28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F447" s="25"/>
      <c r="BG447" s="25"/>
      <c r="BH447" s="25"/>
      <c r="BI447" s="25"/>
      <c r="BJ447" s="24"/>
      <c r="BK447" s="24"/>
      <c r="BL447" s="25"/>
      <c r="BM447" s="25"/>
      <c r="BN447" s="25"/>
    </row>
    <row r="448" spans="1:66" ht="13.5" customHeight="1" x14ac:dyDescent="0.2">
      <c r="A448" s="22"/>
      <c r="B448" s="23"/>
      <c r="C448" s="23"/>
      <c r="D448" s="24"/>
      <c r="E448" s="24"/>
      <c r="F448" s="24"/>
      <c r="G448" s="24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7"/>
      <c r="AN448" s="25"/>
      <c r="AO448" s="25"/>
      <c r="AP448" s="28"/>
      <c r="AQ448" s="25"/>
      <c r="AR448" s="25"/>
      <c r="AS448" s="28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F448" s="25"/>
      <c r="BG448" s="25"/>
      <c r="BH448" s="25"/>
      <c r="BI448" s="25"/>
      <c r="BJ448" s="24"/>
      <c r="BK448" s="24"/>
      <c r="BL448" s="25"/>
      <c r="BM448" s="25"/>
      <c r="BN448" s="25"/>
    </row>
    <row r="449" spans="1:66" ht="13.5" customHeight="1" x14ac:dyDescent="0.2">
      <c r="A449" s="22"/>
      <c r="B449" s="23"/>
      <c r="C449" s="23"/>
      <c r="D449" s="24"/>
      <c r="E449" s="24"/>
      <c r="F449" s="24"/>
      <c r="G449" s="24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7"/>
      <c r="AN449" s="25"/>
      <c r="AO449" s="25"/>
      <c r="AP449" s="28"/>
      <c r="AQ449" s="25"/>
      <c r="AR449" s="25"/>
      <c r="AS449" s="28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F449" s="25"/>
      <c r="BG449" s="25"/>
      <c r="BH449" s="25"/>
      <c r="BI449" s="25"/>
      <c r="BJ449" s="24"/>
      <c r="BK449" s="24"/>
      <c r="BL449" s="25"/>
      <c r="BM449" s="25"/>
      <c r="BN449" s="25"/>
    </row>
    <row r="450" spans="1:66" ht="13.5" customHeight="1" x14ac:dyDescent="0.2">
      <c r="A450" s="22"/>
      <c r="B450" s="23"/>
      <c r="C450" s="23"/>
      <c r="D450" s="24"/>
      <c r="E450" s="24"/>
      <c r="F450" s="24"/>
      <c r="G450" s="24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7"/>
      <c r="AN450" s="25"/>
      <c r="AO450" s="25"/>
      <c r="AP450" s="28"/>
      <c r="AQ450" s="25"/>
      <c r="AR450" s="25"/>
      <c r="AS450" s="28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F450" s="25"/>
      <c r="BG450" s="25"/>
      <c r="BH450" s="25"/>
      <c r="BI450" s="25"/>
      <c r="BJ450" s="24"/>
      <c r="BK450" s="24"/>
      <c r="BL450" s="25"/>
      <c r="BM450" s="25"/>
      <c r="BN450" s="25"/>
    </row>
    <row r="451" spans="1:66" ht="13.5" customHeight="1" x14ac:dyDescent="0.2">
      <c r="A451" s="22"/>
      <c r="B451" s="23"/>
      <c r="C451" s="23"/>
      <c r="D451" s="24"/>
      <c r="E451" s="24"/>
      <c r="F451" s="24"/>
      <c r="G451" s="24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7"/>
      <c r="AN451" s="25"/>
      <c r="AO451" s="25"/>
      <c r="AP451" s="28"/>
      <c r="AQ451" s="25"/>
      <c r="AR451" s="25"/>
      <c r="AS451" s="28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F451" s="25"/>
      <c r="BG451" s="25"/>
      <c r="BH451" s="25"/>
      <c r="BI451" s="25"/>
      <c r="BJ451" s="24"/>
      <c r="BK451" s="24"/>
      <c r="BL451" s="25"/>
      <c r="BM451" s="25"/>
      <c r="BN451" s="25"/>
    </row>
    <row r="452" spans="1:66" ht="13.5" customHeight="1" x14ac:dyDescent="0.2">
      <c r="A452" s="22"/>
      <c r="B452" s="23"/>
      <c r="C452" s="23"/>
      <c r="D452" s="24"/>
      <c r="E452" s="24"/>
      <c r="F452" s="24"/>
      <c r="G452" s="24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7"/>
      <c r="AN452" s="25"/>
      <c r="AO452" s="25"/>
      <c r="AP452" s="28"/>
      <c r="AQ452" s="25"/>
      <c r="AR452" s="25"/>
      <c r="AS452" s="28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F452" s="25"/>
      <c r="BG452" s="25"/>
      <c r="BH452" s="25"/>
      <c r="BI452" s="25"/>
      <c r="BJ452" s="24"/>
      <c r="BK452" s="24"/>
      <c r="BL452" s="25"/>
      <c r="BM452" s="25"/>
      <c r="BN452" s="25"/>
    </row>
    <row r="453" spans="1:66" ht="13.5" customHeight="1" x14ac:dyDescent="0.2">
      <c r="A453" s="22"/>
      <c r="B453" s="23"/>
      <c r="C453" s="23"/>
      <c r="D453" s="24"/>
      <c r="E453" s="24"/>
      <c r="F453" s="24"/>
      <c r="G453" s="24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7"/>
      <c r="AN453" s="25"/>
      <c r="AO453" s="25"/>
      <c r="AP453" s="28"/>
      <c r="AQ453" s="25"/>
      <c r="AR453" s="25"/>
      <c r="AS453" s="28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F453" s="25"/>
      <c r="BG453" s="25"/>
      <c r="BH453" s="25"/>
      <c r="BI453" s="25"/>
      <c r="BJ453" s="24"/>
      <c r="BK453" s="24"/>
      <c r="BL453" s="25"/>
      <c r="BM453" s="25"/>
      <c r="BN453" s="25"/>
    </row>
    <row r="454" spans="1:66" ht="13.5" customHeight="1" x14ac:dyDescent="0.2">
      <c r="A454" s="22"/>
      <c r="B454" s="23"/>
      <c r="C454" s="23"/>
      <c r="D454" s="24"/>
      <c r="E454" s="24"/>
      <c r="F454" s="24"/>
      <c r="G454" s="24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7"/>
      <c r="AN454" s="25"/>
      <c r="AO454" s="25"/>
      <c r="AP454" s="28"/>
      <c r="AQ454" s="25"/>
      <c r="AR454" s="25"/>
      <c r="AS454" s="28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F454" s="25"/>
      <c r="BG454" s="25"/>
      <c r="BH454" s="25"/>
      <c r="BI454" s="25"/>
      <c r="BJ454" s="24"/>
      <c r="BK454" s="24"/>
      <c r="BL454" s="25"/>
      <c r="BM454" s="25"/>
      <c r="BN454" s="25"/>
    </row>
    <row r="455" spans="1:66" ht="13.5" customHeight="1" x14ac:dyDescent="0.2">
      <c r="A455" s="22"/>
      <c r="B455" s="23"/>
      <c r="C455" s="23"/>
      <c r="D455" s="24"/>
      <c r="E455" s="24"/>
      <c r="F455" s="24"/>
      <c r="G455" s="24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7"/>
      <c r="AN455" s="25"/>
      <c r="AO455" s="25"/>
      <c r="AP455" s="28"/>
      <c r="AQ455" s="25"/>
      <c r="AR455" s="25"/>
      <c r="AS455" s="28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F455" s="25"/>
      <c r="BG455" s="25"/>
      <c r="BH455" s="25"/>
      <c r="BI455" s="25"/>
      <c r="BJ455" s="24"/>
      <c r="BK455" s="24"/>
      <c r="BL455" s="25"/>
      <c r="BM455" s="25"/>
      <c r="BN455" s="25"/>
    </row>
    <row r="456" spans="1:66" ht="13.5" customHeight="1" x14ac:dyDescent="0.2">
      <c r="A456" s="22"/>
      <c r="B456" s="23"/>
      <c r="C456" s="23"/>
      <c r="D456" s="24"/>
      <c r="E456" s="24"/>
      <c r="F456" s="24"/>
      <c r="G456" s="24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7"/>
      <c r="AN456" s="25"/>
      <c r="AO456" s="25"/>
      <c r="AP456" s="28"/>
      <c r="AQ456" s="25"/>
      <c r="AR456" s="25"/>
      <c r="AS456" s="28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F456" s="25"/>
      <c r="BG456" s="25"/>
      <c r="BH456" s="25"/>
      <c r="BI456" s="25"/>
      <c r="BJ456" s="24"/>
      <c r="BK456" s="24"/>
      <c r="BL456" s="25"/>
      <c r="BM456" s="25"/>
      <c r="BN456" s="25"/>
    </row>
    <row r="457" spans="1:66" ht="13.5" customHeight="1" x14ac:dyDescent="0.2">
      <c r="A457" s="22"/>
      <c r="B457" s="23"/>
      <c r="C457" s="23"/>
      <c r="D457" s="24"/>
      <c r="E457" s="24"/>
      <c r="F457" s="24"/>
      <c r="G457" s="24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7"/>
      <c r="AN457" s="25"/>
      <c r="AO457" s="25"/>
      <c r="AP457" s="28"/>
      <c r="AQ457" s="25"/>
      <c r="AR457" s="25"/>
      <c r="AS457" s="28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F457" s="25"/>
      <c r="BG457" s="25"/>
      <c r="BH457" s="25"/>
      <c r="BI457" s="25"/>
      <c r="BJ457" s="24"/>
      <c r="BK457" s="24"/>
      <c r="BL457" s="25"/>
      <c r="BM457" s="25"/>
      <c r="BN457" s="25"/>
    </row>
    <row r="458" spans="1:66" ht="13.5" customHeight="1" x14ac:dyDescent="0.2">
      <c r="A458" s="22"/>
      <c r="B458" s="23"/>
      <c r="C458" s="23"/>
      <c r="D458" s="24"/>
      <c r="E458" s="24"/>
      <c r="F458" s="24"/>
      <c r="G458" s="24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7"/>
      <c r="AN458" s="25"/>
      <c r="AO458" s="25"/>
      <c r="AP458" s="28"/>
      <c r="AQ458" s="25"/>
      <c r="AR458" s="25"/>
      <c r="AS458" s="28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F458" s="25"/>
      <c r="BG458" s="25"/>
      <c r="BH458" s="25"/>
      <c r="BI458" s="25"/>
      <c r="BJ458" s="24"/>
      <c r="BK458" s="24"/>
      <c r="BL458" s="25"/>
      <c r="BM458" s="25"/>
      <c r="BN458" s="25"/>
    </row>
    <row r="459" spans="1:66" ht="13.5" customHeight="1" x14ac:dyDescent="0.2">
      <c r="A459" s="22"/>
      <c r="B459" s="23"/>
      <c r="C459" s="23"/>
      <c r="D459" s="24"/>
      <c r="E459" s="24"/>
      <c r="F459" s="24"/>
      <c r="G459" s="24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7"/>
      <c r="AN459" s="25"/>
      <c r="AO459" s="25"/>
      <c r="AP459" s="28"/>
      <c r="AQ459" s="25"/>
      <c r="AR459" s="25"/>
      <c r="AS459" s="28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F459" s="25"/>
      <c r="BG459" s="25"/>
      <c r="BH459" s="25"/>
      <c r="BI459" s="25"/>
      <c r="BJ459" s="24"/>
      <c r="BK459" s="24"/>
      <c r="BL459" s="25"/>
      <c r="BM459" s="25"/>
      <c r="BN459" s="25"/>
    </row>
    <row r="460" spans="1:66" ht="13.5" customHeight="1" x14ac:dyDescent="0.2">
      <c r="A460" s="22"/>
      <c r="B460" s="23"/>
      <c r="C460" s="23"/>
      <c r="D460" s="24"/>
      <c r="E460" s="24"/>
      <c r="F460" s="24"/>
      <c r="G460" s="24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7"/>
      <c r="AN460" s="25"/>
      <c r="AO460" s="25"/>
      <c r="AP460" s="28"/>
      <c r="AQ460" s="25"/>
      <c r="AR460" s="25"/>
      <c r="AS460" s="28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F460" s="25"/>
      <c r="BG460" s="25"/>
      <c r="BH460" s="25"/>
      <c r="BI460" s="25"/>
      <c r="BJ460" s="24"/>
      <c r="BK460" s="24"/>
      <c r="BL460" s="25"/>
      <c r="BM460" s="25"/>
      <c r="BN460" s="25"/>
    </row>
    <row r="461" spans="1:66" ht="13.5" customHeight="1" x14ac:dyDescent="0.2">
      <c r="A461" s="22"/>
      <c r="B461" s="23"/>
      <c r="C461" s="23"/>
      <c r="D461" s="24"/>
      <c r="E461" s="24"/>
      <c r="F461" s="24"/>
      <c r="G461" s="24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7"/>
      <c r="AN461" s="25"/>
      <c r="AO461" s="25"/>
      <c r="AP461" s="28"/>
      <c r="AQ461" s="25"/>
      <c r="AR461" s="25"/>
      <c r="AS461" s="28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F461" s="25"/>
      <c r="BG461" s="25"/>
      <c r="BH461" s="25"/>
      <c r="BI461" s="25"/>
      <c r="BJ461" s="24"/>
      <c r="BK461" s="24"/>
      <c r="BL461" s="25"/>
      <c r="BM461" s="25"/>
      <c r="BN461" s="25"/>
    </row>
    <row r="462" spans="1:66" ht="13.5" customHeight="1" x14ac:dyDescent="0.2">
      <c r="A462" s="22"/>
      <c r="B462" s="23"/>
      <c r="C462" s="23"/>
      <c r="D462" s="24"/>
      <c r="E462" s="24"/>
      <c r="F462" s="24"/>
      <c r="G462" s="24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7"/>
      <c r="AN462" s="25"/>
      <c r="AO462" s="25"/>
      <c r="AP462" s="28"/>
      <c r="AQ462" s="25"/>
      <c r="AR462" s="25"/>
      <c r="AS462" s="28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F462" s="25"/>
      <c r="BG462" s="25"/>
      <c r="BH462" s="25"/>
      <c r="BI462" s="25"/>
      <c r="BJ462" s="24"/>
      <c r="BK462" s="24"/>
      <c r="BL462" s="25"/>
      <c r="BM462" s="25"/>
      <c r="BN462" s="25"/>
    </row>
    <row r="463" spans="1:66" ht="13.5" customHeight="1" x14ac:dyDescent="0.2">
      <c r="A463" s="22"/>
      <c r="B463" s="23"/>
      <c r="C463" s="23"/>
      <c r="D463" s="24"/>
      <c r="E463" s="24"/>
      <c r="F463" s="24"/>
      <c r="G463" s="24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7"/>
      <c r="AN463" s="25"/>
      <c r="AO463" s="25"/>
      <c r="AP463" s="28"/>
      <c r="AQ463" s="25"/>
      <c r="AR463" s="25"/>
      <c r="AS463" s="28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F463" s="25"/>
      <c r="BG463" s="25"/>
      <c r="BH463" s="25"/>
      <c r="BI463" s="25"/>
      <c r="BJ463" s="24"/>
      <c r="BK463" s="24"/>
      <c r="BL463" s="25"/>
      <c r="BM463" s="25"/>
      <c r="BN463" s="25"/>
    </row>
    <row r="464" spans="1:66" ht="13.5" customHeight="1" x14ac:dyDescent="0.2">
      <c r="A464" s="22"/>
      <c r="B464" s="23"/>
      <c r="C464" s="23"/>
      <c r="D464" s="24"/>
      <c r="E464" s="24"/>
      <c r="F464" s="24"/>
      <c r="G464" s="24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7"/>
      <c r="AN464" s="25"/>
      <c r="AO464" s="25"/>
      <c r="AP464" s="28"/>
      <c r="AQ464" s="25"/>
      <c r="AR464" s="25"/>
      <c r="AS464" s="28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F464" s="25"/>
      <c r="BG464" s="25"/>
      <c r="BH464" s="25"/>
      <c r="BI464" s="25"/>
      <c r="BJ464" s="24"/>
      <c r="BK464" s="24"/>
      <c r="BL464" s="25"/>
      <c r="BM464" s="25"/>
      <c r="BN464" s="25"/>
    </row>
    <row r="465" spans="1:66" ht="13.5" customHeight="1" x14ac:dyDescent="0.2">
      <c r="A465" s="22"/>
      <c r="B465" s="23"/>
      <c r="C465" s="23"/>
      <c r="D465" s="24"/>
      <c r="E465" s="24"/>
      <c r="F465" s="24"/>
      <c r="G465" s="24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7"/>
      <c r="AN465" s="25"/>
      <c r="AO465" s="25"/>
      <c r="AP465" s="28"/>
      <c r="AQ465" s="25"/>
      <c r="AR465" s="25"/>
      <c r="AS465" s="28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F465" s="25"/>
      <c r="BG465" s="25"/>
      <c r="BH465" s="25"/>
      <c r="BI465" s="25"/>
      <c r="BJ465" s="24"/>
      <c r="BK465" s="24"/>
      <c r="BL465" s="25"/>
      <c r="BM465" s="25"/>
      <c r="BN465" s="25"/>
    </row>
    <row r="466" spans="1:66" ht="13.5" customHeight="1" x14ac:dyDescent="0.2">
      <c r="A466" s="22"/>
      <c r="B466" s="23"/>
      <c r="C466" s="23"/>
      <c r="D466" s="24"/>
      <c r="E466" s="24"/>
      <c r="F466" s="24"/>
      <c r="G466" s="24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7"/>
      <c r="AN466" s="25"/>
      <c r="AO466" s="25"/>
      <c r="AP466" s="28"/>
      <c r="AQ466" s="25"/>
      <c r="AR466" s="25"/>
      <c r="AS466" s="28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F466" s="25"/>
      <c r="BG466" s="25"/>
      <c r="BH466" s="25"/>
      <c r="BI466" s="25"/>
      <c r="BJ466" s="24"/>
      <c r="BK466" s="24"/>
      <c r="BL466" s="25"/>
      <c r="BM466" s="25"/>
      <c r="BN466" s="25"/>
    </row>
    <row r="467" spans="1:66" ht="13.5" customHeight="1" x14ac:dyDescent="0.2">
      <c r="A467" s="22"/>
      <c r="B467" s="23"/>
      <c r="C467" s="23"/>
      <c r="D467" s="24"/>
      <c r="E467" s="24"/>
      <c r="F467" s="24"/>
      <c r="G467" s="24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7"/>
      <c r="AN467" s="25"/>
      <c r="AO467" s="25"/>
      <c r="AP467" s="28"/>
      <c r="AQ467" s="25"/>
      <c r="AR467" s="25"/>
      <c r="AS467" s="28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F467" s="25"/>
      <c r="BG467" s="25"/>
      <c r="BH467" s="25"/>
      <c r="BI467" s="25"/>
      <c r="BJ467" s="24"/>
      <c r="BK467" s="24"/>
      <c r="BL467" s="25"/>
      <c r="BM467" s="25"/>
      <c r="BN467" s="25"/>
    </row>
    <row r="468" spans="1:66" ht="13.5" customHeight="1" x14ac:dyDescent="0.2">
      <c r="A468" s="22"/>
      <c r="B468" s="23"/>
      <c r="C468" s="23"/>
      <c r="D468" s="24"/>
      <c r="E468" s="24"/>
      <c r="F468" s="24"/>
      <c r="G468" s="24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7"/>
      <c r="AN468" s="25"/>
      <c r="AO468" s="25"/>
      <c r="AP468" s="28"/>
      <c r="AQ468" s="25"/>
      <c r="AR468" s="25"/>
      <c r="AS468" s="28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F468" s="25"/>
      <c r="BG468" s="25"/>
      <c r="BH468" s="25"/>
      <c r="BI468" s="25"/>
      <c r="BJ468" s="24"/>
      <c r="BK468" s="24"/>
      <c r="BL468" s="25"/>
      <c r="BM468" s="25"/>
      <c r="BN468" s="25"/>
    </row>
    <row r="469" spans="1:66" ht="13.5" customHeight="1" x14ac:dyDescent="0.2">
      <c r="A469" s="22"/>
      <c r="B469" s="23"/>
      <c r="C469" s="23"/>
      <c r="D469" s="24"/>
      <c r="E469" s="24"/>
      <c r="F469" s="24"/>
      <c r="G469" s="24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7"/>
      <c r="AN469" s="25"/>
      <c r="AO469" s="25"/>
      <c r="AP469" s="28"/>
      <c r="AQ469" s="25"/>
      <c r="AR469" s="25"/>
      <c r="AS469" s="28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F469" s="25"/>
      <c r="BG469" s="25"/>
      <c r="BH469" s="25"/>
      <c r="BI469" s="25"/>
      <c r="BJ469" s="24"/>
      <c r="BK469" s="24"/>
      <c r="BL469" s="25"/>
      <c r="BM469" s="25"/>
      <c r="BN469" s="25"/>
    </row>
    <row r="470" spans="1:66" ht="13.5" customHeight="1" x14ac:dyDescent="0.2">
      <c r="A470" s="22"/>
      <c r="B470" s="23"/>
      <c r="C470" s="23"/>
      <c r="D470" s="24"/>
      <c r="E470" s="24"/>
      <c r="F470" s="24"/>
      <c r="G470" s="24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7"/>
      <c r="AN470" s="25"/>
      <c r="AO470" s="25"/>
      <c r="AP470" s="28"/>
      <c r="AQ470" s="25"/>
      <c r="AR470" s="25"/>
      <c r="AS470" s="28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F470" s="25"/>
      <c r="BG470" s="25"/>
      <c r="BH470" s="25"/>
      <c r="BI470" s="25"/>
      <c r="BJ470" s="24"/>
      <c r="BK470" s="24"/>
      <c r="BL470" s="25"/>
      <c r="BM470" s="25"/>
      <c r="BN470" s="25"/>
    </row>
    <row r="471" spans="1:66" ht="13.5" customHeight="1" x14ac:dyDescent="0.2">
      <c r="A471" s="22"/>
      <c r="B471" s="23"/>
      <c r="C471" s="23"/>
      <c r="D471" s="24"/>
      <c r="E471" s="24"/>
      <c r="F471" s="24"/>
      <c r="G471" s="24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7"/>
      <c r="AN471" s="25"/>
      <c r="AO471" s="25"/>
      <c r="AP471" s="28"/>
      <c r="AQ471" s="25"/>
      <c r="AR471" s="25"/>
      <c r="AS471" s="28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F471" s="25"/>
      <c r="BG471" s="25"/>
      <c r="BH471" s="25"/>
      <c r="BI471" s="25"/>
      <c r="BJ471" s="24"/>
      <c r="BK471" s="24"/>
      <c r="BL471" s="25"/>
      <c r="BM471" s="25"/>
      <c r="BN471" s="25"/>
    </row>
    <row r="472" spans="1:66" ht="13.5" customHeight="1" x14ac:dyDescent="0.2">
      <c r="A472" s="22"/>
      <c r="B472" s="23"/>
      <c r="C472" s="23"/>
      <c r="D472" s="24"/>
      <c r="E472" s="24"/>
      <c r="F472" s="24"/>
      <c r="G472" s="24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7"/>
      <c r="AN472" s="25"/>
      <c r="AO472" s="25"/>
      <c r="AP472" s="28"/>
      <c r="AQ472" s="25"/>
      <c r="AR472" s="25"/>
      <c r="AS472" s="28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F472" s="25"/>
      <c r="BG472" s="25"/>
      <c r="BH472" s="25"/>
      <c r="BI472" s="25"/>
      <c r="BJ472" s="24"/>
      <c r="BK472" s="24"/>
      <c r="BL472" s="25"/>
      <c r="BM472" s="25"/>
      <c r="BN472" s="25"/>
    </row>
    <row r="473" spans="1:66" ht="13.5" customHeight="1" x14ac:dyDescent="0.2">
      <c r="A473" s="22"/>
      <c r="B473" s="23"/>
      <c r="C473" s="23"/>
      <c r="D473" s="24"/>
      <c r="E473" s="24"/>
      <c r="F473" s="24"/>
      <c r="G473" s="24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7"/>
      <c r="AN473" s="25"/>
      <c r="AO473" s="25"/>
      <c r="AP473" s="28"/>
      <c r="AQ473" s="25"/>
      <c r="AR473" s="25"/>
      <c r="AS473" s="28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F473" s="25"/>
      <c r="BG473" s="25"/>
      <c r="BH473" s="25"/>
      <c r="BI473" s="25"/>
      <c r="BJ473" s="24"/>
      <c r="BK473" s="24"/>
      <c r="BL473" s="25"/>
      <c r="BM473" s="25"/>
      <c r="BN473" s="25"/>
    </row>
    <row r="474" spans="1:66" ht="13.5" customHeight="1" x14ac:dyDescent="0.2">
      <c r="A474" s="22"/>
      <c r="B474" s="23"/>
      <c r="C474" s="23"/>
      <c r="D474" s="24"/>
      <c r="E474" s="24"/>
      <c r="F474" s="24"/>
      <c r="G474" s="24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7"/>
      <c r="AN474" s="25"/>
      <c r="AO474" s="25"/>
      <c r="AP474" s="28"/>
      <c r="AQ474" s="25"/>
      <c r="AR474" s="25"/>
      <c r="AS474" s="28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F474" s="25"/>
      <c r="BG474" s="25"/>
      <c r="BH474" s="25"/>
      <c r="BI474" s="25"/>
      <c r="BJ474" s="24"/>
      <c r="BK474" s="24"/>
      <c r="BL474" s="25"/>
      <c r="BM474" s="25"/>
      <c r="BN474" s="25"/>
    </row>
    <row r="475" spans="1:66" ht="13.5" customHeight="1" x14ac:dyDescent="0.2">
      <c r="A475" s="22"/>
      <c r="B475" s="23"/>
      <c r="C475" s="23"/>
      <c r="D475" s="24"/>
      <c r="E475" s="24"/>
      <c r="F475" s="24"/>
      <c r="G475" s="24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7"/>
      <c r="AN475" s="25"/>
      <c r="AO475" s="25"/>
      <c r="AP475" s="28"/>
      <c r="AQ475" s="25"/>
      <c r="AR475" s="25"/>
      <c r="AS475" s="28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F475" s="25"/>
      <c r="BG475" s="25"/>
      <c r="BH475" s="25"/>
      <c r="BI475" s="25"/>
      <c r="BJ475" s="24"/>
      <c r="BK475" s="24"/>
      <c r="BL475" s="25"/>
      <c r="BM475" s="25"/>
      <c r="BN475" s="25"/>
    </row>
    <row r="476" spans="1:66" ht="13.5" customHeight="1" x14ac:dyDescent="0.2">
      <c r="A476" s="22"/>
      <c r="B476" s="23"/>
      <c r="C476" s="23"/>
      <c r="D476" s="24"/>
      <c r="E476" s="24"/>
      <c r="F476" s="24"/>
      <c r="G476" s="24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7"/>
      <c r="AN476" s="25"/>
      <c r="AO476" s="25"/>
      <c r="AP476" s="28"/>
      <c r="AQ476" s="25"/>
      <c r="AR476" s="25"/>
      <c r="AS476" s="28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F476" s="25"/>
      <c r="BG476" s="25"/>
      <c r="BH476" s="25"/>
      <c r="BI476" s="25"/>
      <c r="BJ476" s="24"/>
      <c r="BK476" s="24"/>
      <c r="BL476" s="25"/>
      <c r="BM476" s="25"/>
      <c r="BN476" s="25"/>
    </row>
    <row r="477" spans="1:66" ht="13.5" customHeight="1" x14ac:dyDescent="0.2">
      <c r="A477" s="22"/>
      <c r="B477" s="23"/>
      <c r="C477" s="23"/>
      <c r="D477" s="24"/>
      <c r="E477" s="24"/>
      <c r="F477" s="24"/>
      <c r="G477" s="24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7"/>
      <c r="AN477" s="25"/>
      <c r="AO477" s="25"/>
      <c r="AP477" s="28"/>
      <c r="AQ477" s="25"/>
      <c r="AR477" s="25"/>
      <c r="AS477" s="28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F477" s="25"/>
      <c r="BG477" s="25"/>
      <c r="BH477" s="25"/>
      <c r="BI477" s="25"/>
      <c r="BJ477" s="24"/>
      <c r="BK477" s="24"/>
      <c r="BL477" s="25"/>
      <c r="BM477" s="25"/>
      <c r="BN477" s="25"/>
    </row>
    <row r="478" spans="1:66" ht="13.5" customHeight="1" x14ac:dyDescent="0.2">
      <c r="A478" s="22"/>
      <c r="B478" s="23"/>
      <c r="C478" s="23"/>
      <c r="D478" s="24"/>
      <c r="E478" s="24"/>
      <c r="F478" s="24"/>
      <c r="G478" s="24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7"/>
      <c r="AN478" s="25"/>
      <c r="AO478" s="25"/>
      <c r="AP478" s="28"/>
      <c r="AQ478" s="25"/>
      <c r="AR478" s="25"/>
      <c r="AS478" s="28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F478" s="25"/>
      <c r="BG478" s="25"/>
      <c r="BH478" s="25"/>
      <c r="BI478" s="25"/>
      <c r="BJ478" s="24"/>
      <c r="BK478" s="24"/>
      <c r="BL478" s="25"/>
      <c r="BM478" s="25"/>
      <c r="BN478" s="25"/>
    </row>
    <row r="479" spans="1:66" ht="13.5" customHeight="1" x14ac:dyDescent="0.2">
      <c r="A479" s="22"/>
      <c r="B479" s="23"/>
      <c r="C479" s="23"/>
      <c r="D479" s="24"/>
      <c r="E479" s="24"/>
      <c r="F479" s="24"/>
      <c r="G479" s="24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7"/>
      <c r="AN479" s="25"/>
      <c r="AO479" s="25"/>
      <c r="AP479" s="28"/>
      <c r="AQ479" s="25"/>
      <c r="AR479" s="25"/>
      <c r="AS479" s="28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F479" s="25"/>
      <c r="BG479" s="25"/>
      <c r="BH479" s="25"/>
      <c r="BI479" s="25"/>
      <c r="BJ479" s="24"/>
      <c r="BK479" s="24"/>
      <c r="BL479" s="25"/>
      <c r="BM479" s="25"/>
      <c r="BN479" s="25"/>
    </row>
    <row r="480" spans="1:66" ht="13.5" customHeight="1" x14ac:dyDescent="0.2">
      <c r="A480" s="22"/>
      <c r="B480" s="23"/>
      <c r="C480" s="23"/>
      <c r="D480" s="24"/>
      <c r="E480" s="24"/>
      <c r="F480" s="24"/>
      <c r="G480" s="24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7"/>
      <c r="AN480" s="25"/>
      <c r="AO480" s="25"/>
      <c r="AP480" s="28"/>
      <c r="AQ480" s="25"/>
      <c r="AR480" s="25"/>
      <c r="AS480" s="28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F480" s="25"/>
      <c r="BG480" s="25"/>
      <c r="BH480" s="25"/>
      <c r="BI480" s="25"/>
      <c r="BJ480" s="24"/>
      <c r="BK480" s="24"/>
      <c r="BL480" s="25"/>
      <c r="BM480" s="25"/>
      <c r="BN480" s="25"/>
    </row>
    <row r="481" spans="1:66" ht="13.5" customHeight="1" x14ac:dyDescent="0.2">
      <c r="A481" s="22"/>
      <c r="B481" s="23"/>
      <c r="C481" s="23"/>
      <c r="D481" s="24"/>
      <c r="E481" s="24"/>
      <c r="F481" s="24"/>
      <c r="G481" s="24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7"/>
      <c r="AN481" s="25"/>
      <c r="AO481" s="25"/>
      <c r="AP481" s="28"/>
      <c r="AQ481" s="25"/>
      <c r="AR481" s="25"/>
      <c r="AS481" s="28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F481" s="25"/>
      <c r="BG481" s="25"/>
      <c r="BH481" s="25"/>
      <c r="BI481" s="25"/>
      <c r="BJ481" s="24"/>
      <c r="BK481" s="24"/>
      <c r="BL481" s="25"/>
      <c r="BM481" s="25"/>
      <c r="BN481" s="25"/>
    </row>
    <row r="482" spans="1:66" ht="13.5" customHeight="1" x14ac:dyDescent="0.2">
      <c r="A482" s="22"/>
      <c r="B482" s="23"/>
      <c r="C482" s="23"/>
      <c r="D482" s="24"/>
      <c r="E482" s="24"/>
      <c r="F482" s="24"/>
      <c r="G482" s="24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7"/>
      <c r="AN482" s="25"/>
      <c r="AO482" s="25"/>
      <c r="AP482" s="28"/>
      <c r="AQ482" s="25"/>
      <c r="AR482" s="25"/>
      <c r="AS482" s="28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F482" s="25"/>
      <c r="BG482" s="25"/>
      <c r="BH482" s="25"/>
      <c r="BI482" s="25"/>
      <c r="BJ482" s="24"/>
      <c r="BK482" s="24"/>
      <c r="BL482" s="25"/>
      <c r="BM482" s="25"/>
      <c r="BN482" s="25"/>
    </row>
    <row r="483" spans="1:66" ht="13.5" customHeight="1" x14ac:dyDescent="0.2">
      <c r="A483" s="22"/>
      <c r="B483" s="23"/>
      <c r="C483" s="23"/>
      <c r="D483" s="24"/>
      <c r="E483" s="24"/>
      <c r="F483" s="24"/>
      <c r="G483" s="24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7"/>
      <c r="AN483" s="25"/>
      <c r="AO483" s="25"/>
      <c r="AP483" s="28"/>
      <c r="AQ483" s="25"/>
      <c r="AR483" s="25"/>
      <c r="AS483" s="28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F483" s="25"/>
      <c r="BG483" s="25"/>
      <c r="BH483" s="25"/>
      <c r="BI483" s="25"/>
      <c r="BJ483" s="24"/>
      <c r="BK483" s="24"/>
      <c r="BL483" s="25"/>
      <c r="BM483" s="25"/>
      <c r="BN483" s="25"/>
    </row>
    <row r="484" spans="1:66" ht="13.5" customHeight="1" x14ac:dyDescent="0.2">
      <c r="A484" s="22"/>
      <c r="B484" s="23"/>
      <c r="C484" s="23"/>
      <c r="D484" s="24"/>
      <c r="E484" s="24"/>
      <c r="F484" s="24"/>
      <c r="G484" s="24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7"/>
      <c r="AN484" s="25"/>
      <c r="AO484" s="25"/>
      <c r="AP484" s="28"/>
      <c r="AQ484" s="25"/>
      <c r="AR484" s="25"/>
      <c r="AS484" s="28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F484" s="25"/>
      <c r="BG484" s="25"/>
      <c r="BH484" s="25"/>
      <c r="BI484" s="25"/>
      <c r="BJ484" s="24"/>
      <c r="BK484" s="24"/>
      <c r="BL484" s="25"/>
      <c r="BM484" s="25"/>
      <c r="BN484" s="25"/>
    </row>
    <row r="485" spans="1:66" ht="13.5" customHeight="1" x14ac:dyDescent="0.2">
      <c r="A485" s="22"/>
      <c r="B485" s="23"/>
      <c r="C485" s="23"/>
      <c r="D485" s="24"/>
      <c r="E485" s="24"/>
      <c r="F485" s="24"/>
      <c r="G485" s="24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7"/>
      <c r="AN485" s="25"/>
      <c r="AO485" s="25"/>
      <c r="AP485" s="28"/>
      <c r="AQ485" s="25"/>
      <c r="AR485" s="25"/>
      <c r="AS485" s="28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F485" s="25"/>
      <c r="BG485" s="25"/>
      <c r="BH485" s="25"/>
      <c r="BI485" s="25"/>
      <c r="BJ485" s="24"/>
      <c r="BK485" s="24"/>
      <c r="BL485" s="25"/>
      <c r="BM485" s="25"/>
      <c r="BN485" s="25"/>
    </row>
    <row r="486" spans="1:66" ht="13.5" customHeight="1" x14ac:dyDescent="0.2">
      <c r="A486" s="22"/>
      <c r="B486" s="23"/>
      <c r="C486" s="23"/>
      <c r="D486" s="24"/>
      <c r="E486" s="24"/>
      <c r="F486" s="24"/>
      <c r="G486" s="24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7"/>
      <c r="AN486" s="25"/>
      <c r="AO486" s="25"/>
      <c r="AP486" s="28"/>
      <c r="AQ486" s="25"/>
      <c r="AR486" s="25"/>
      <c r="AS486" s="28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F486" s="25"/>
      <c r="BG486" s="25"/>
      <c r="BH486" s="25"/>
      <c r="BI486" s="25"/>
      <c r="BJ486" s="24"/>
      <c r="BK486" s="24"/>
      <c r="BL486" s="25"/>
      <c r="BM486" s="25"/>
      <c r="BN486" s="25"/>
    </row>
    <row r="487" spans="1:66" ht="13.5" customHeight="1" x14ac:dyDescent="0.2">
      <c r="A487" s="22"/>
      <c r="B487" s="23"/>
      <c r="C487" s="23"/>
      <c r="D487" s="24"/>
      <c r="E487" s="24"/>
      <c r="F487" s="24"/>
      <c r="G487" s="24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7"/>
      <c r="AN487" s="25"/>
      <c r="AO487" s="25"/>
      <c r="AP487" s="28"/>
      <c r="AQ487" s="25"/>
      <c r="AR487" s="25"/>
      <c r="AS487" s="28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F487" s="25"/>
      <c r="BG487" s="25"/>
      <c r="BH487" s="25"/>
      <c r="BI487" s="25"/>
      <c r="BJ487" s="24"/>
      <c r="BK487" s="24"/>
      <c r="BL487" s="25"/>
      <c r="BM487" s="25"/>
      <c r="BN487" s="25"/>
    </row>
    <row r="488" spans="1:66" ht="13.5" customHeight="1" x14ac:dyDescent="0.2">
      <c r="A488" s="22"/>
      <c r="B488" s="23"/>
      <c r="C488" s="23"/>
      <c r="D488" s="24"/>
      <c r="E488" s="24"/>
      <c r="F488" s="24"/>
      <c r="G488" s="24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7"/>
      <c r="AN488" s="25"/>
      <c r="AO488" s="25"/>
      <c r="AP488" s="28"/>
      <c r="AQ488" s="25"/>
      <c r="AR488" s="25"/>
      <c r="AS488" s="28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F488" s="25"/>
      <c r="BG488" s="25"/>
      <c r="BH488" s="25"/>
      <c r="BI488" s="25"/>
      <c r="BJ488" s="24"/>
      <c r="BK488" s="24"/>
      <c r="BL488" s="25"/>
      <c r="BM488" s="25"/>
      <c r="BN488" s="25"/>
    </row>
    <row r="489" spans="1:66" ht="13.5" customHeight="1" x14ac:dyDescent="0.2">
      <c r="A489" s="22"/>
      <c r="B489" s="23"/>
      <c r="C489" s="23"/>
      <c r="D489" s="24"/>
      <c r="E489" s="24"/>
      <c r="F489" s="24"/>
      <c r="G489" s="24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7"/>
      <c r="AN489" s="25"/>
      <c r="AO489" s="25"/>
      <c r="AP489" s="28"/>
      <c r="AQ489" s="25"/>
      <c r="AR489" s="25"/>
      <c r="AS489" s="28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F489" s="25"/>
      <c r="BG489" s="25"/>
      <c r="BH489" s="25"/>
      <c r="BI489" s="25"/>
      <c r="BJ489" s="24"/>
      <c r="BK489" s="24"/>
      <c r="BL489" s="25"/>
      <c r="BM489" s="25"/>
      <c r="BN489" s="25"/>
    </row>
    <row r="490" spans="1:66" ht="13.5" customHeight="1" x14ac:dyDescent="0.2">
      <c r="A490" s="22"/>
      <c r="B490" s="23"/>
      <c r="C490" s="23"/>
      <c r="D490" s="24"/>
      <c r="E490" s="24"/>
      <c r="F490" s="24"/>
      <c r="G490" s="24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7"/>
      <c r="AN490" s="25"/>
      <c r="AO490" s="25"/>
      <c r="AP490" s="28"/>
      <c r="AQ490" s="25"/>
      <c r="AR490" s="25"/>
      <c r="AS490" s="28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F490" s="25"/>
      <c r="BG490" s="25"/>
      <c r="BH490" s="25"/>
      <c r="BI490" s="25"/>
      <c r="BJ490" s="24"/>
      <c r="BK490" s="24"/>
      <c r="BL490" s="25"/>
      <c r="BM490" s="25"/>
      <c r="BN490" s="25"/>
    </row>
    <row r="491" spans="1:66" ht="13.5" customHeight="1" x14ac:dyDescent="0.2">
      <c r="A491" s="22"/>
      <c r="B491" s="23"/>
      <c r="C491" s="23"/>
      <c r="D491" s="24"/>
      <c r="E491" s="24"/>
      <c r="F491" s="24"/>
      <c r="G491" s="24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7"/>
      <c r="AN491" s="25"/>
      <c r="AO491" s="25"/>
      <c r="AP491" s="28"/>
      <c r="AQ491" s="25"/>
      <c r="AR491" s="25"/>
      <c r="AS491" s="28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F491" s="25"/>
      <c r="BG491" s="25"/>
      <c r="BH491" s="25"/>
      <c r="BI491" s="25"/>
      <c r="BJ491" s="24"/>
      <c r="BK491" s="24"/>
      <c r="BL491" s="25"/>
      <c r="BM491" s="25"/>
      <c r="BN491" s="25"/>
    </row>
    <row r="492" spans="1:66" ht="13.5" customHeight="1" x14ac:dyDescent="0.2">
      <c r="A492" s="22"/>
      <c r="B492" s="23"/>
      <c r="C492" s="23"/>
      <c r="D492" s="24"/>
      <c r="E492" s="24"/>
      <c r="F492" s="24"/>
      <c r="G492" s="24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7"/>
      <c r="AN492" s="25"/>
      <c r="AO492" s="25"/>
      <c r="AP492" s="28"/>
      <c r="AQ492" s="25"/>
      <c r="AR492" s="25"/>
      <c r="AS492" s="28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F492" s="25"/>
      <c r="BG492" s="25"/>
      <c r="BH492" s="25"/>
      <c r="BI492" s="25"/>
      <c r="BJ492" s="24"/>
      <c r="BK492" s="24"/>
      <c r="BL492" s="25"/>
      <c r="BM492" s="25"/>
      <c r="BN492" s="25"/>
    </row>
    <row r="493" spans="1:66" ht="13.5" customHeight="1" x14ac:dyDescent="0.2">
      <c r="A493" s="22"/>
      <c r="B493" s="23"/>
      <c r="C493" s="23"/>
      <c r="D493" s="24"/>
      <c r="E493" s="24"/>
      <c r="F493" s="24"/>
      <c r="G493" s="24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7"/>
      <c r="AN493" s="25"/>
      <c r="AO493" s="25"/>
      <c r="AP493" s="28"/>
      <c r="AQ493" s="25"/>
      <c r="AR493" s="25"/>
      <c r="AS493" s="28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F493" s="25"/>
      <c r="BG493" s="25"/>
      <c r="BH493" s="25"/>
      <c r="BI493" s="25"/>
      <c r="BJ493" s="24"/>
      <c r="BK493" s="24"/>
      <c r="BL493" s="25"/>
      <c r="BM493" s="25"/>
      <c r="BN493" s="25"/>
    </row>
    <row r="494" spans="1:66" ht="13.5" customHeight="1" x14ac:dyDescent="0.2">
      <c r="A494" s="22"/>
      <c r="B494" s="23"/>
      <c r="C494" s="23"/>
      <c r="D494" s="24"/>
      <c r="E494" s="24"/>
      <c r="F494" s="24"/>
      <c r="G494" s="24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7"/>
      <c r="AN494" s="25"/>
      <c r="AO494" s="25"/>
      <c r="AP494" s="28"/>
      <c r="AQ494" s="25"/>
      <c r="AR494" s="25"/>
      <c r="AS494" s="28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F494" s="25"/>
      <c r="BG494" s="25"/>
      <c r="BH494" s="25"/>
      <c r="BI494" s="25"/>
      <c r="BJ494" s="24"/>
      <c r="BK494" s="24"/>
      <c r="BL494" s="25"/>
      <c r="BM494" s="25"/>
      <c r="BN494" s="25"/>
    </row>
    <row r="495" spans="1:66" ht="13.5" customHeight="1" x14ac:dyDescent="0.2">
      <c r="A495" s="22"/>
      <c r="B495" s="23"/>
      <c r="C495" s="23"/>
      <c r="D495" s="24"/>
      <c r="E495" s="24"/>
      <c r="F495" s="24"/>
      <c r="G495" s="24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7"/>
      <c r="AN495" s="25"/>
      <c r="AO495" s="25"/>
      <c r="AP495" s="28"/>
      <c r="AQ495" s="25"/>
      <c r="AR495" s="25"/>
      <c r="AS495" s="28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F495" s="25"/>
      <c r="BG495" s="25"/>
      <c r="BH495" s="25"/>
      <c r="BI495" s="25"/>
      <c r="BJ495" s="24"/>
      <c r="BK495" s="24"/>
      <c r="BL495" s="25"/>
      <c r="BM495" s="25"/>
      <c r="BN495" s="25"/>
    </row>
    <row r="496" spans="1:66" ht="13.5" customHeight="1" x14ac:dyDescent="0.2">
      <c r="A496" s="22"/>
      <c r="B496" s="23"/>
      <c r="C496" s="23"/>
      <c r="D496" s="24"/>
      <c r="E496" s="24"/>
      <c r="F496" s="24"/>
      <c r="G496" s="24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7"/>
      <c r="AN496" s="25"/>
      <c r="AO496" s="25"/>
      <c r="AP496" s="28"/>
      <c r="AQ496" s="25"/>
      <c r="AR496" s="25"/>
      <c r="AS496" s="28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F496" s="25"/>
      <c r="BG496" s="25"/>
      <c r="BH496" s="25"/>
      <c r="BI496" s="25"/>
      <c r="BJ496" s="24"/>
      <c r="BK496" s="24"/>
      <c r="BL496" s="25"/>
      <c r="BM496" s="25"/>
      <c r="BN496" s="25"/>
    </row>
    <row r="497" spans="1:66" ht="13.5" customHeight="1" x14ac:dyDescent="0.2">
      <c r="A497" s="22"/>
      <c r="B497" s="23"/>
      <c r="C497" s="23"/>
      <c r="D497" s="24"/>
      <c r="E497" s="24"/>
      <c r="F497" s="24"/>
      <c r="G497" s="24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7"/>
      <c r="AN497" s="25"/>
      <c r="AO497" s="25"/>
      <c r="AP497" s="28"/>
      <c r="AQ497" s="25"/>
      <c r="AR497" s="25"/>
      <c r="AS497" s="28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F497" s="25"/>
      <c r="BG497" s="25"/>
      <c r="BH497" s="25"/>
      <c r="BI497" s="25"/>
      <c r="BJ497" s="24"/>
      <c r="BK497" s="24"/>
      <c r="BL497" s="25"/>
      <c r="BM497" s="25"/>
      <c r="BN497" s="25"/>
    </row>
    <row r="498" spans="1:66" ht="13.5" customHeight="1" x14ac:dyDescent="0.2">
      <c r="A498" s="22"/>
      <c r="B498" s="23"/>
      <c r="C498" s="23"/>
      <c r="D498" s="24"/>
      <c r="E498" s="24"/>
      <c r="F498" s="24"/>
      <c r="G498" s="24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7"/>
      <c r="AN498" s="25"/>
      <c r="AO498" s="25"/>
      <c r="AP498" s="28"/>
      <c r="AQ498" s="25"/>
      <c r="AR498" s="25"/>
      <c r="AS498" s="28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F498" s="25"/>
      <c r="BG498" s="25"/>
      <c r="BH498" s="25"/>
      <c r="BI498" s="25"/>
      <c r="BJ498" s="24"/>
      <c r="BK498" s="24"/>
      <c r="BL498" s="25"/>
      <c r="BM498" s="25"/>
      <c r="BN498" s="25"/>
    </row>
    <row r="499" spans="1:66" ht="13.5" customHeight="1" x14ac:dyDescent="0.2">
      <c r="A499" s="22"/>
      <c r="B499" s="23"/>
      <c r="C499" s="23"/>
      <c r="D499" s="24"/>
      <c r="E499" s="24"/>
      <c r="F499" s="24"/>
      <c r="G499" s="24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7"/>
      <c r="AN499" s="25"/>
      <c r="AO499" s="25"/>
      <c r="AP499" s="28"/>
      <c r="AQ499" s="25"/>
      <c r="AR499" s="25"/>
      <c r="AS499" s="28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F499" s="25"/>
      <c r="BG499" s="25"/>
      <c r="BH499" s="25"/>
      <c r="BI499" s="25"/>
      <c r="BJ499" s="24"/>
      <c r="BK499" s="24"/>
      <c r="BL499" s="25"/>
      <c r="BM499" s="25"/>
      <c r="BN499" s="25"/>
    </row>
    <row r="500" spans="1:66" ht="13.5" customHeight="1" x14ac:dyDescent="0.2">
      <c r="A500" s="22"/>
      <c r="B500" s="23"/>
      <c r="C500" s="23"/>
      <c r="D500" s="24"/>
      <c r="E500" s="24"/>
      <c r="F500" s="24"/>
      <c r="G500" s="24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7"/>
      <c r="AN500" s="25"/>
      <c r="AO500" s="25"/>
      <c r="AP500" s="28"/>
      <c r="AQ500" s="25"/>
      <c r="AR500" s="25"/>
      <c r="AS500" s="28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F500" s="25"/>
      <c r="BG500" s="25"/>
      <c r="BH500" s="25"/>
      <c r="BI500" s="25"/>
      <c r="BJ500" s="24"/>
      <c r="BK500" s="24"/>
      <c r="BL500" s="25"/>
      <c r="BM500" s="25"/>
      <c r="BN500" s="25"/>
    </row>
    <row r="501" spans="1:66" ht="13.5" customHeight="1" x14ac:dyDescent="0.2">
      <c r="A501" s="22"/>
      <c r="B501" s="23"/>
      <c r="C501" s="23"/>
      <c r="D501" s="24"/>
      <c r="E501" s="24"/>
      <c r="F501" s="24"/>
      <c r="G501" s="24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7"/>
      <c r="AN501" s="25"/>
      <c r="AO501" s="25"/>
      <c r="AP501" s="28"/>
      <c r="AQ501" s="25"/>
      <c r="AR501" s="25"/>
      <c r="AS501" s="28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F501" s="25"/>
      <c r="BG501" s="25"/>
      <c r="BH501" s="25"/>
      <c r="BI501" s="25"/>
      <c r="BJ501" s="24"/>
      <c r="BK501" s="24"/>
      <c r="BL501" s="25"/>
      <c r="BM501" s="25"/>
      <c r="BN501" s="25"/>
    </row>
    <row r="502" spans="1:66" ht="13.5" customHeight="1" x14ac:dyDescent="0.2">
      <c r="A502" s="22"/>
      <c r="B502" s="23"/>
      <c r="C502" s="23"/>
      <c r="D502" s="24"/>
      <c r="E502" s="24"/>
      <c r="F502" s="24"/>
      <c r="G502" s="24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7"/>
      <c r="AN502" s="25"/>
      <c r="AO502" s="25"/>
      <c r="AP502" s="28"/>
      <c r="AQ502" s="25"/>
      <c r="AR502" s="25"/>
      <c r="AS502" s="28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F502" s="25"/>
      <c r="BG502" s="25"/>
      <c r="BH502" s="25"/>
      <c r="BI502" s="25"/>
      <c r="BJ502" s="24"/>
      <c r="BK502" s="24"/>
      <c r="BL502" s="25"/>
      <c r="BM502" s="25"/>
      <c r="BN502" s="25"/>
    </row>
    <row r="503" spans="1:66" ht="13.5" customHeight="1" x14ac:dyDescent="0.2">
      <c r="A503" s="22"/>
      <c r="B503" s="23"/>
      <c r="C503" s="23"/>
      <c r="D503" s="24"/>
      <c r="E503" s="24"/>
      <c r="F503" s="24"/>
      <c r="G503" s="24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7"/>
      <c r="AN503" s="25"/>
      <c r="AO503" s="25"/>
      <c r="AP503" s="28"/>
      <c r="AQ503" s="25"/>
      <c r="AR503" s="25"/>
      <c r="AS503" s="28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F503" s="25"/>
      <c r="BG503" s="25"/>
      <c r="BH503" s="25"/>
      <c r="BI503" s="25"/>
      <c r="BJ503" s="24"/>
      <c r="BK503" s="24"/>
      <c r="BL503" s="25"/>
      <c r="BM503" s="25"/>
      <c r="BN503" s="25"/>
    </row>
    <row r="504" spans="1:66" ht="13.5" customHeight="1" x14ac:dyDescent="0.2">
      <c r="A504" s="22"/>
      <c r="B504" s="23"/>
      <c r="C504" s="23"/>
      <c r="D504" s="24"/>
      <c r="E504" s="24"/>
      <c r="F504" s="24"/>
      <c r="G504" s="24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7"/>
      <c r="AN504" s="25"/>
      <c r="AO504" s="25"/>
      <c r="AP504" s="28"/>
      <c r="AQ504" s="25"/>
      <c r="AR504" s="25"/>
      <c r="AS504" s="28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F504" s="25"/>
      <c r="BG504" s="25"/>
      <c r="BH504" s="25"/>
      <c r="BI504" s="25"/>
      <c r="BJ504" s="24"/>
      <c r="BK504" s="24"/>
      <c r="BL504" s="25"/>
      <c r="BM504" s="25"/>
      <c r="BN504" s="25"/>
    </row>
    <row r="505" spans="1:66" ht="13.5" customHeight="1" x14ac:dyDescent="0.2">
      <c r="A505" s="22"/>
      <c r="B505" s="23"/>
      <c r="C505" s="23"/>
      <c r="D505" s="24"/>
      <c r="E505" s="24"/>
      <c r="F505" s="24"/>
      <c r="G505" s="24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7"/>
      <c r="AN505" s="25"/>
      <c r="AO505" s="25"/>
      <c r="AP505" s="28"/>
      <c r="AQ505" s="25"/>
      <c r="AR505" s="25"/>
      <c r="AS505" s="28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F505" s="25"/>
      <c r="BG505" s="25"/>
      <c r="BH505" s="25"/>
      <c r="BI505" s="25"/>
      <c r="BJ505" s="24"/>
      <c r="BK505" s="24"/>
      <c r="BL505" s="25"/>
      <c r="BM505" s="25"/>
      <c r="BN505" s="25"/>
    </row>
    <row r="506" spans="1:66" ht="13.5" customHeight="1" x14ac:dyDescent="0.2">
      <c r="A506" s="22"/>
      <c r="B506" s="23"/>
      <c r="C506" s="23"/>
      <c r="D506" s="24"/>
      <c r="E506" s="24"/>
      <c r="F506" s="24"/>
      <c r="G506" s="24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7"/>
      <c r="AN506" s="25"/>
      <c r="AO506" s="25"/>
      <c r="AP506" s="28"/>
      <c r="AQ506" s="25"/>
      <c r="AR506" s="25"/>
      <c r="AS506" s="28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F506" s="25"/>
      <c r="BG506" s="25"/>
      <c r="BH506" s="25"/>
      <c r="BI506" s="25"/>
      <c r="BJ506" s="24"/>
      <c r="BK506" s="24"/>
      <c r="BL506" s="25"/>
      <c r="BM506" s="25"/>
      <c r="BN506" s="25"/>
    </row>
    <row r="507" spans="1:66" ht="13.5" customHeight="1" x14ac:dyDescent="0.2">
      <c r="A507" s="22"/>
      <c r="B507" s="23"/>
      <c r="C507" s="23"/>
      <c r="D507" s="24"/>
      <c r="E507" s="24"/>
      <c r="F507" s="24"/>
      <c r="G507" s="24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7"/>
      <c r="AN507" s="25"/>
      <c r="AO507" s="25"/>
      <c r="AP507" s="28"/>
      <c r="AQ507" s="25"/>
      <c r="AR507" s="25"/>
      <c r="AS507" s="28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F507" s="25"/>
      <c r="BG507" s="25"/>
      <c r="BH507" s="25"/>
      <c r="BI507" s="25"/>
      <c r="BJ507" s="24"/>
      <c r="BK507" s="24"/>
      <c r="BL507" s="25"/>
      <c r="BM507" s="25"/>
      <c r="BN507" s="25"/>
    </row>
    <row r="508" spans="1:66" ht="13.5" customHeight="1" x14ac:dyDescent="0.2">
      <c r="A508" s="22"/>
      <c r="B508" s="23"/>
      <c r="C508" s="23"/>
      <c r="D508" s="24"/>
      <c r="E508" s="24"/>
      <c r="F508" s="24"/>
      <c r="G508" s="24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7"/>
      <c r="AN508" s="25"/>
      <c r="AO508" s="25"/>
      <c r="AP508" s="28"/>
      <c r="AQ508" s="25"/>
      <c r="AR508" s="25"/>
      <c r="AS508" s="28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F508" s="25"/>
      <c r="BG508" s="25"/>
      <c r="BH508" s="25"/>
      <c r="BI508" s="25"/>
      <c r="BJ508" s="24"/>
      <c r="BK508" s="24"/>
      <c r="BL508" s="25"/>
      <c r="BM508" s="25"/>
      <c r="BN508" s="25"/>
    </row>
    <row r="509" spans="1:66" ht="13.5" customHeight="1" x14ac:dyDescent="0.2">
      <c r="A509" s="22"/>
      <c r="B509" s="23"/>
      <c r="C509" s="23"/>
      <c r="D509" s="24"/>
      <c r="E509" s="24"/>
      <c r="F509" s="24"/>
      <c r="G509" s="24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7"/>
      <c r="AN509" s="25"/>
      <c r="AO509" s="25"/>
      <c r="AP509" s="28"/>
      <c r="AQ509" s="25"/>
      <c r="AR509" s="25"/>
      <c r="AS509" s="28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F509" s="25"/>
      <c r="BG509" s="25"/>
      <c r="BH509" s="25"/>
      <c r="BI509" s="25"/>
      <c r="BJ509" s="24"/>
      <c r="BK509" s="24"/>
      <c r="BL509" s="25"/>
      <c r="BM509" s="25"/>
      <c r="BN509" s="25"/>
    </row>
    <row r="510" spans="1:66" ht="13.5" customHeight="1" x14ac:dyDescent="0.2">
      <c r="A510" s="22"/>
      <c r="B510" s="23"/>
      <c r="C510" s="23"/>
      <c r="D510" s="24"/>
      <c r="E510" s="24"/>
      <c r="F510" s="24"/>
      <c r="G510" s="24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7"/>
      <c r="AN510" s="25"/>
      <c r="AO510" s="25"/>
      <c r="AP510" s="28"/>
      <c r="AQ510" s="25"/>
      <c r="AR510" s="25"/>
      <c r="AS510" s="28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F510" s="25"/>
      <c r="BG510" s="25"/>
      <c r="BH510" s="25"/>
      <c r="BI510" s="25"/>
      <c r="BJ510" s="24"/>
      <c r="BK510" s="24"/>
      <c r="BL510" s="25"/>
      <c r="BM510" s="25"/>
      <c r="BN510" s="25"/>
    </row>
    <row r="511" spans="1:66" ht="13.5" customHeight="1" x14ac:dyDescent="0.2">
      <c r="A511" s="22"/>
      <c r="B511" s="23"/>
      <c r="C511" s="23"/>
      <c r="D511" s="24"/>
      <c r="E511" s="24"/>
      <c r="F511" s="24"/>
      <c r="G511" s="24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7"/>
      <c r="AN511" s="25"/>
      <c r="AO511" s="25"/>
      <c r="AP511" s="28"/>
      <c r="AQ511" s="25"/>
      <c r="AR511" s="25"/>
      <c r="AS511" s="28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F511" s="25"/>
      <c r="BG511" s="25"/>
      <c r="BH511" s="25"/>
      <c r="BI511" s="25"/>
      <c r="BJ511" s="24"/>
      <c r="BK511" s="24"/>
      <c r="BL511" s="25"/>
      <c r="BM511" s="25"/>
      <c r="BN511" s="25"/>
    </row>
    <row r="512" spans="1:66" ht="13.5" customHeight="1" x14ac:dyDescent="0.2">
      <c r="A512" s="22"/>
      <c r="B512" s="23"/>
      <c r="C512" s="23"/>
      <c r="D512" s="24"/>
      <c r="E512" s="24"/>
      <c r="F512" s="24"/>
      <c r="G512" s="24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7"/>
      <c r="AN512" s="25"/>
      <c r="AO512" s="25"/>
      <c r="AP512" s="28"/>
      <c r="AQ512" s="25"/>
      <c r="AR512" s="25"/>
      <c r="AS512" s="28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F512" s="25"/>
      <c r="BG512" s="25"/>
      <c r="BH512" s="25"/>
      <c r="BI512" s="25"/>
      <c r="BJ512" s="24"/>
      <c r="BK512" s="24"/>
      <c r="BL512" s="25"/>
      <c r="BM512" s="25"/>
      <c r="BN512" s="25"/>
    </row>
    <row r="513" spans="1:66" ht="13.5" customHeight="1" x14ac:dyDescent="0.2">
      <c r="A513" s="22"/>
      <c r="B513" s="23"/>
      <c r="C513" s="23"/>
      <c r="D513" s="24"/>
      <c r="E513" s="24"/>
      <c r="F513" s="24"/>
      <c r="G513" s="24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7"/>
      <c r="AN513" s="25"/>
      <c r="AO513" s="25"/>
      <c r="AP513" s="28"/>
      <c r="AQ513" s="25"/>
      <c r="AR513" s="25"/>
      <c r="AS513" s="28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F513" s="25"/>
      <c r="BG513" s="25"/>
      <c r="BH513" s="25"/>
      <c r="BI513" s="25"/>
      <c r="BJ513" s="24"/>
      <c r="BK513" s="24"/>
      <c r="BL513" s="25"/>
      <c r="BM513" s="25"/>
      <c r="BN513" s="25"/>
    </row>
    <row r="514" spans="1:66" ht="13.5" customHeight="1" x14ac:dyDescent="0.2">
      <c r="A514" s="22"/>
      <c r="B514" s="23"/>
      <c r="C514" s="23"/>
      <c r="D514" s="24"/>
      <c r="E514" s="24"/>
      <c r="F514" s="24"/>
      <c r="G514" s="24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7"/>
      <c r="AN514" s="25"/>
      <c r="AO514" s="25"/>
      <c r="AP514" s="28"/>
      <c r="AQ514" s="25"/>
      <c r="AR514" s="25"/>
      <c r="AS514" s="28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F514" s="25"/>
      <c r="BG514" s="25"/>
      <c r="BH514" s="25"/>
      <c r="BI514" s="25"/>
      <c r="BJ514" s="24"/>
      <c r="BK514" s="24"/>
      <c r="BL514" s="25"/>
      <c r="BM514" s="25"/>
      <c r="BN514" s="25"/>
    </row>
    <row r="515" spans="1:66" ht="13.5" customHeight="1" x14ac:dyDescent="0.2">
      <c r="A515" s="22"/>
      <c r="B515" s="23"/>
      <c r="C515" s="23"/>
      <c r="D515" s="24"/>
      <c r="E515" s="24"/>
      <c r="F515" s="24"/>
      <c r="G515" s="24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7"/>
      <c r="AN515" s="25"/>
      <c r="AO515" s="25"/>
      <c r="AP515" s="28"/>
      <c r="AQ515" s="25"/>
      <c r="AR515" s="25"/>
      <c r="AS515" s="28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F515" s="25"/>
      <c r="BG515" s="25"/>
      <c r="BH515" s="25"/>
      <c r="BI515" s="25"/>
      <c r="BJ515" s="24"/>
      <c r="BK515" s="24"/>
      <c r="BL515" s="25"/>
      <c r="BM515" s="25"/>
      <c r="BN515" s="25"/>
    </row>
    <row r="516" spans="1:66" ht="13.5" customHeight="1" x14ac:dyDescent="0.2">
      <c r="A516" s="22"/>
      <c r="B516" s="23"/>
      <c r="C516" s="23"/>
      <c r="D516" s="24"/>
      <c r="E516" s="24"/>
      <c r="F516" s="24"/>
      <c r="G516" s="24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7"/>
      <c r="AN516" s="25"/>
      <c r="AO516" s="25"/>
      <c r="AP516" s="28"/>
      <c r="AQ516" s="25"/>
      <c r="AR516" s="25"/>
      <c r="AS516" s="28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F516" s="25"/>
      <c r="BG516" s="25"/>
      <c r="BH516" s="25"/>
      <c r="BI516" s="25"/>
      <c r="BJ516" s="24"/>
      <c r="BK516" s="24"/>
      <c r="BL516" s="25"/>
      <c r="BM516" s="25"/>
      <c r="BN516" s="25"/>
    </row>
    <row r="517" spans="1:66" ht="13.5" customHeight="1" x14ac:dyDescent="0.2">
      <c r="A517" s="22"/>
      <c r="B517" s="23"/>
      <c r="C517" s="23"/>
      <c r="D517" s="24"/>
      <c r="E517" s="24"/>
      <c r="F517" s="24"/>
      <c r="G517" s="24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7"/>
      <c r="AN517" s="25"/>
      <c r="AO517" s="25"/>
      <c r="AP517" s="28"/>
      <c r="AQ517" s="25"/>
      <c r="AR517" s="25"/>
      <c r="AS517" s="28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F517" s="25"/>
      <c r="BG517" s="25"/>
      <c r="BH517" s="25"/>
      <c r="BI517" s="25"/>
      <c r="BJ517" s="24"/>
      <c r="BK517" s="24"/>
      <c r="BL517" s="25"/>
      <c r="BM517" s="25"/>
      <c r="BN517" s="25"/>
    </row>
    <row r="518" spans="1:66" ht="13.5" customHeight="1" x14ac:dyDescent="0.2">
      <c r="A518" s="22"/>
      <c r="B518" s="23"/>
      <c r="C518" s="23"/>
      <c r="D518" s="24"/>
      <c r="E518" s="24"/>
      <c r="F518" s="24"/>
      <c r="G518" s="24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7"/>
      <c r="AN518" s="25"/>
      <c r="AO518" s="25"/>
      <c r="AP518" s="28"/>
      <c r="AQ518" s="25"/>
      <c r="AR518" s="25"/>
      <c r="AS518" s="28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F518" s="25"/>
      <c r="BG518" s="25"/>
      <c r="BH518" s="25"/>
      <c r="BI518" s="25"/>
      <c r="BJ518" s="24"/>
      <c r="BK518" s="24"/>
      <c r="BL518" s="25"/>
      <c r="BM518" s="25"/>
      <c r="BN518" s="25"/>
    </row>
    <row r="519" spans="1:66" ht="13.5" customHeight="1" x14ac:dyDescent="0.2">
      <c r="A519" s="22"/>
      <c r="B519" s="23"/>
      <c r="C519" s="23"/>
      <c r="D519" s="24"/>
      <c r="E519" s="24"/>
      <c r="F519" s="24"/>
      <c r="G519" s="24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7"/>
      <c r="AN519" s="25"/>
      <c r="AO519" s="25"/>
      <c r="AP519" s="28"/>
      <c r="AQ519" s="25"/>
      <c r="AR519" s="25"/>
      <c r="AS519" s="28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F519" s="25"/>
      <c r="BG519" s="25"/>
      <c r="BH519" s="25"/>
      <c r="BI519" s="25"/>
      <c r="BJ519" s="24"/>
      <c r="BK519" s="24"/>
      <c r="BL519" s="25"/>
      <c r="BM519" s="25"/>
      <c r="BN519" s="25"/>
    </row>
    <row r="520" spans="1:66" ht="13.5" customHeight="1" x14ac:dyDescent="0.2">
      <c r="A520" s="22"/>
      <c r="B520" s="23"/>
      <c r="C520" s="23"/>
      <c r="D520" s="24"/>
      <c r="E520" s="24"/>
      <c r="F520" s="24"/>
      <c r="G520" s="24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7"/>
      <c r="AN520" s="25"/>
      <c r="AO520" s="25"/>
      <c r="AP520" s="28"/>
      <c r="AQ520" s="25"/>
      <c r="AR520" s="25"/>
      <c r="AS520" s="28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F520" s="25"/>
      <c r="BG520" s="25"/>
      <c r="BH520" s="25"/>
      <c r="BI520" s="25"/>
      <c r="BJ520" s="24"/>
      <c r="BK520" s="24"/>
      <c r="BL520" s="25"/>
      <c r="BM520" s="25"/>
      <c r="BN520" s="25"/>
    </row>
    <row r="521" spans="1:66" ht="13.5" customHeight="1" x14ac:dyDescent="0.2">
      <c r="A521" s="22"/>
      <c r="B521" s="23"/>
      <c r="C521" s="23"/>
      <c r="D521" s="24"/>
      <c r="E521" s="24"/>
      <c r="F521" s="24"/>
      <c r="G521" s="24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7"/>
      <c r="AN521" s="25"/>
      <c r="AO521" s="25"/>
      <c r="AP521" s="28"/>
      <c r="AQ521" s="25"/>
      <c r="AR521" s="25"/>
      <c r="AS521" s="28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F521" s="25"/>
      <c r="BG521" s="25"/>
      <c r="BH521" s="25"/>
      <c r="BI521" s="25"/>
      <c r="BJ521" s="24"/>
      <c r="BK521" s="24"/>
      <c r="BL521" s="25"/>
      <c r="BM521" s="25"/>
      <c r="BN521" s="25"/>
    </row>
    <row r="522" spans="1:66" ht="13.5" customHeight="1" x14ac:dyDescent="0.2">
      <c r="A522" s="22"/>
      <c r="B522" s="23"/>
      <c r="C522" s="23"/>
      <c r="D522" s="24"/>
      <c r="E522" s="24"/>
      <c r="F522" s="24"/>
      <c r="G522" s="24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7"/>
      <c r="AN522" s="25"/>
      <c r="AO522" s="25"/>
      <c r="AP522" s="28"/>
      <c r="AQ522" s="25"/>
      <c r="AR522" s="25"/>
      <c r="AS522" s="28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F522" s="25"/>
      <c r="BG522" s="25"/>
      <c r="BH522" s="25"/>
      <c r="BI522" s="25"/>
      <c r="BJ522" s="24"/>
      <c r="BK522" s="24"/>
      <c r="BL522" s="25"/>
      <c r="BM522" s="25"/>
      <c r="BN522" s="25"/>
    </row>
    <row r="523" spans="1:66" ht="13.5" customHeight="1" x14ac:dyDescent="0.2">
      <c r="A523" s="22"/>
      <c r="B523" s="23"/>
      <c r="C523" s="23"/>
      <c r="D523" s="24"/>
      <c r="E523" s="24"/>
      <c r="F523" s="24"/>
      <c r="G523" s="24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7"/>
      <c r="AN523" s="25"/>
      <c r="AO523" s="25"/>
      <c r="AP523" s="28"/>
      <c r="AQ523" s="25"/>
      <c r="AR523" s="25"/>
      <c r="AS523" s="28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F523" s="25"/>
      <c r="BG523" s="25"/>
      <c r="BH523" s="25"/>
      <c r="BI523" s="25"/>
      <c r="BJ523" s="24"/>
      <c r="BK523" s="24"/>
      <c r="BL523" s="25"/>
      <c r="BM523" s="25"/>
      <c r="BN523" s="25"/>
    </row>
    <row r="524" spans="1:66" ht="13.5" customHeight="1" x14ac:dyDescent="0.2">
      <c r="A524" s="22"/>
      <c r="B524" s="23"/>
      <c r="C524" s="23"/>
      <c r="D524" s="24"/>
      <c r="E524" s="24"/>
      <c r="F524" s="24"/>
      <c r="G524" s="24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7"/>
      <c r="AN524" s="25"/>
      <c r="AO524" s="25"/>
      <c r="AP524" s="28"/>
      <c r="AQ524" s="25"/>
      <c r="AR524" s="25"/>
      <c r="AS524" s="28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F524" s="25"/>
      <c r="BG524" s="25"/>
      <c r="BH524" s="25"/>
      <c r="BI524" s="25"/>
      <c r="BJ524" s="24"/>
      <c r="BK524" s="24"/>
      <c r="BL524" s="25"/>
      <c r="BM524" s="25"/>
      <c r="BN524" s="25"/>
    </row>
    <row r="525" spans="1:66" ht="13.5" customHeight="1" x14ac:dyDescent="0.2">
      <c r="A525" s="22"/>
      <c r="B525" s="23"/>
      <c r="C525" s="23"/>
      <c r="D525" s="24"/>
      <c r="E525" s="24"/>
      <c r="F525" s="24"/>
      <c r="G525" s="24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7"/>
      <c r="AN525" s="25"/>
      <c r="AO525" s="25"/>
      <c r="AP525" s="28"/>
      <c r="AQ525" s="25"/>
      <c r="AR525" s="25"/>
      <c r="AS525" s="28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F525" s="25"/>
      <c r="BG525" s="25"/>
      <c r="BH525" s="25"/>
      <c r="BI525" s="25"/>
      <c r="BJ525" s="24"/>
      <c r="BK525" s="24"/>
      <c r="BL525" s="25"/>
      <c r="BM525" s="25"/>
      <c r="BN525" s="25"/>
    </row>
    <row r="526" spans="1:66" ht="13.5" customHeight="1" x14ac:dyDescent="0.2">
      <c r="A526" s="22"/>
      <c r="B526" s="23"/>
      <c r="C526" s="23"/>
      <c r="D526" s="24"/>
      <c r="E526" s="24"/>
      <c r="F526" s="24"/>
      <c r="G526" s="24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7"/>
      <c r="AN526" s="25"/>
      <c r="AO526" s="25"/>
      <c r="AP526" s="28"/>
      <c r="AQ526" s="25"/>
      <c r="AR526" s="25"/>
      <c r="AS526" s="28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F526" s="25"/>
      <c r="BG526" s="25"/>
      <c r="BH526" s="25"/>
      <c r="BI526" s="25"/>
      <c r="BJ526" s="24"/>
      <c r="BK526" s="24"/>
      <c r="BL526" s="25"/>
      <c r="BM526" s="25"/>
      <c r="BN526" s="25"/>
    </row>
    <row r="527" spans="1:66" ht="13.5" customHeight="1" x14ac:dyDescent="0.2">
      <c r="A527" s="22"/>
      <c r="B527" s="23"/>
      <c r="C527" s="23"/>
      <c r="D527" s="24"/>
      <c r="E527" s="24"/>
      <c r="F527" s="24"/>
      <c r="G527" s="24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7"/>
      <c r="AN527" s="25"/>
      <c r="AO527" s="25"/>
      <c r="AP527" s="28"/>
      <c r="AQ527" s="25"/>
      <c r="AR527" s="25"/>
      <c r="AS527" s="28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F527" s="25"/>
      <c r="BG527" s="25"/>
      <c r="BH527" s="25"/>
      <c r="BI527" s="25"/>
      <c r="BJ527" s="24"/>
      <c r="BK527" s="24"/>
      <c r="BL527" s="25"/>
      <c r="BM527" s="25"/>
      <c r="BN527" s="25"/>
    </row>
    <row r="528" spans="1:66" ht="13.5" customHeight="1" x14ac:dyDescent="0.2">
      <c r="A528" s="22"/>
      <c r="B528" s="23"/>
      <c r="C528" s="23"/>
      <c r="D528" s="24"/>
      <c r="E528" s="24"/>
      <c r="F528" s="24"/>
      <c r="G528" s="24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7"/>
      <c r="AN528" s="25"/>
      <c r="AO528" s="25"/>
      <c r="AP528" s="28"/>
      <c r="AQ528" s="25"/>
      <c r="AR528" s="25"/>
      <c r="AS528" s="28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F528" s="25"/>
      <c r="BG528" s="25"/>
      <c r="BH528" s="25"/>
      <c r="BI528" s="25"/>
      <c r="BJ528" s="24"/>
      <c r="BK528" s="24"/>
      <c r="BL528" s="25"/>
      <c r="BM528" s="25"/>
      <c r="BN528" s="25"/>
    </row>
    <row r="529" spans="1:66" ht="13.5" customHeight="1" x14ac:dyDescent="0.2">
      <c r="A529" s="22"/>
      <c r="B529" s="23"/>
      <c r="C529" s="23"/>
      <c r="D529" s="24"/>
      <c r="E529" s="24"/>
      <c r="F529" s="24"/>
      <c r="G529" s="24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7"/>
      <c r="AN529" s="25"/>
      <c r="AO529" s="25"/>
      <c r="AP529" s="28"/>
      <c r="AQ529" s="25"/>
      <c r="AR529" s="25"/>
      <c r="AS529" s="28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F529" s="25"/>
      <c r="BG529" s="25"/>
      <c r="BH529" s="25"/>
      <c r="BI529" s="25"/>
      <c r="BJ529" s="24"/>
      <c r="BK529" s="24"/>
      <c r="BL529" s="25"/>
      <c r="BM529" s="25"/>
      <c r="BN529" s="25"/>
    </row>
    <row r="530" spans="1:66" ht="13.5" customHeight="1" x14ac:dyDescent="0.2">
      <c r="A530" s="22"/>
      <c r="B530" s="23"/>
      <c r="C530" s="23"/>
      <c r="D530" s="24"/>
      <c r="E530" s="24"/>
      <c r="F530" s="24"/>
      <c r="G530" s="24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7"/>
      <c r="AN530" s="25"/>
      <c r="AO530" s="25"/>
      <c r="AP530" s="28"/>
      <c r="AQ530" s="25"/>
      <c r="AR530" s="25"/>
      <c r="AS530" s="28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F530" s="25"/>
      <c r="BG530" s="25"/>
      <c r="BH530" s="25"/>
      <c r="BI530" s="25"/>
      <c r="BJ530" s="24"/>
      <c r="BK530" s="24"/>
      <c r="BL530" s="25"/>
      <c r="BM530" s="25"/>
      <c r="BN530" s="25"/>
    </row>
    <row r="531" spans="1:66" ht="13.5" customHeight="1" x14ac:dyDescent="0.2">
      <c r="A531" s="22"/>
      <c r="B531" s="23"/>
      <c r="C531" s="23"/>
      <c r="D531" s="24"/>
      <c r="E531" s="24"/>
      <c r="F531" s="24"/>
      <c r="G531" s="24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7"/>
      <c r="AN531" s="25"/>
      <c r="AO531" s="25"/>
      <c r="AP531" s="28"/>
      <c r="AQ531" s="25"/>
      <c r="AR531" s="25"/>
      <c r="AS531" s="28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F531" s="25"/>
      <c r="BG531" s="25"/>
      <c r="BH531" s="25"/>
      <c r="BI531" s="25"/>
      <c r="BJ531" s="24"/>
      <c r="BK531" s="24"/>
      <c r="BL531" s="25"/>
      <c r="BM531" s="25"/>
      <c r="BN531" s="25"/>
    </row>
    <row r="532" spans="1:66" ht="13.5" customHeight="1" x14ac:dyDescent="0.2">
      <c r="A532" s="22"/>
      <c r="B532" s="23"/>
      <c r="C532" s="23"/>
      <c r="D532" s="24"/>
      <c r="E532" s="24"/>
      <c r="F532" s="24"/>
      <c r="G532" s="24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7"/>
      <c r="AN532" s="25"/>
      <c r="AO532" s="25"/>
      <c r="AP532" s="28"/>
      <c r="AQ532" s="25"/>
      <c r="AR532" s="25"/>
      <c r="AS532" s="28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F532" s="25"/>
      <c r="BG532" s="25"/>
      <c r="BH532" s="25"/>
      <c r="BI532" s="25"/>
      <c r="BJ532" s="24"/>
      <c r="BK532" s="24"/>
      <c r="BL532" s="25"/>
      <c r="BM532" s="25"/>
      <c r="BN532" s="25"/>
    </row>
    <row r="533" spans="1:66" ht="13.5" customHeight="1" x14ac:dyDescent="0.2">
      <c r="A533" s="22"/>
      <c r="B533" s="23"/>
      <c r="C533" s="23"/>
      <c r="D533" s="24"/>
      <c r="E533" s="24"/>
      <c r="F533" s="24"/>
      <c r="G533" s="24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7"/>
      <c r="AN533" s="25"/>
      <c r="AO533" s="25"/>
      <c r="AP533" s="28"/>
      <c r="AQ533" s="25"/>
      <c r="AR533" s="25"/>
      <c r="AS533" s="28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F533" s="25"/>
      <c r="BG533" s="25"/>
      <c r="BH533" s="25"/>
      <c r="BI533" s="25"/>
      <c r="BJ533" s="24"/>
      <c r="BK533" s="24"/>
      <c r="BL533" s="25"/>
      <c r="BM533" s="25"/>
      <c r="BN533" s="25"/>
    </row>
    <row r="534" spans="1:66" ht="13.5" customHeight="1" x14ac:dyDescent="0.2">
      <c r="A534" s="22"/>
      <c r="B534" s="23"/>
      <c r="C534" s="23"/>
      <c r="D534" s="24"/>
      <c r="E534" s="24"/>
      <c r="F534" s="24"/>
      <c r="G534" s="24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7"/>
      <c r="AN534" s="25"/>
      <c r="AO534" s="25"/>
      <c r="AP534" s="28"/>
      <c r="AQ534" s="25"/>
      <c r="AR534" s="25"/>
      <c r="AS534" s="28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F534" s="25"/>
      <c r="BG534" s="25"/>
      <c r="BH534" s="25"/>
      <c r="BI534" s="25"/>
      <c r="BJ534" s="24"/>
      <c r="BK534" s="24"/>
      <c r="BL534" s="25"/>
      <c r="BM534" s="25"/>
      <c r="BN534" s="25"/>
    </row>
    <row r="535" spans="1:66" ht="13.5" customHeight="1" x14ac:dyDescent="0.2">
      <c r="A535" s="22"/>
      <c r="B535" s="23"/>
      <c r="C535" s="23"/>
      <c r="D535" s="24"/>
      <c r="E535" s="24"/>
      <c r="F535" s="24"/>
      <c r="G535" s="24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7"/>
      <c r="AN535" s="25"/>
      <c r="AO535" s="25"/>
      <c r="AP535" s="28"/>
      <c r="AQ535" s="25"/>
      <c r="AR535" s="25"/>
      <c r="AS535" s="28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F535" s="25"/>
      <c r="BG535" s="25"/>
      <c r="BH535" s="25"/>
      <c r="BI535" s="25"/>
      <c r="BJ535" s="24"/>
      <c r="BK535" s="24"/>
      <c r="BL535" s="25"/>
      <c r="BM535" s="25"/>
      <c r="BN535" s="25"/>
    </row>
    <row r="536" spans="1:66" ht="13.5" customHeight="1" x14ac:dyDescent="0.2">
      <c r="A536" s="22"/>
      <c r="B536" s="23"/>
      <c r="C536" s="23"/>
      <c r="D536" s="24"/>
      <c r="E536" s="24"/>
      <c r="F536" s="24"/>
      <c r="G536" s="24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7"/>
      <c r="AN536" s="25"/>
      <c r="AO536" s="25"/>
      <c r="AP536" s="28"/>
      <c r="AQ536" s="25"/>
      <c r="AR536" s="25"/>
      <c r="AS536" s="28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F536" s="25"/>
      <c r="BG536" s="25"/>
      <c r="BH536" s="25"/>
      <c r="BI536" s="25"/>
      <c r="BJ536" s="24"/>
      <c r="BK536" s="24"/>
      <c r="BL536" s="25"/>
      <c r="BM536" s="25"/>
      <c r="BN536" s="25"/>
    </row>
    <row r="537" spans="1:66" ht="13.5" customHeight="1" x14ac:dyDescent="0.2">
      <c r="A537" s="22"/>
      <c r="B537" s="23"/>
      <c r="C537" s="23"/>
      <c r="D537" s="24"/>
      <c r="E537" s="24"/>
      <c r="F537" s="24"/>
      <c r="G537" s="24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7"/>
      <c r="AN537" s="25"/>
      <c r="AO537" s="25"/>
      <c r="AP537" s="28"/>
      <c r="AQ537" s="25"/>
      <c r="AR537" s="25"/>
      <c r="AS537" s="28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F537" s="25"/>
      <c r="BG537" s="25"/>
      <c r="BH537" s="25"/>
      <c r="BI537" s="25"/>
      <c r="BJ537" s="24"/>
      <c r="BK537" s="24"/>
      <c r="BL537" s="25"/>
      <c r="BM537" s="25"/>
      <c r="BN537" s="25"/>
    </row>
    <row r="538" spans="1:66" ht="13.5" customHeight="1" x14ac:dyDescent="0.2">
      <c r="A538" s="22"/>
      <c r="B538" s="23"/>
      <c r="C538" s="23"/>
      <c r="D538" s="24"/>
      <c r="E538" s="24"/>
      <c r="F538" s="24"/>
      <c r="G538" s="24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7"/>
      <c r="AN538" s="25"/>
      <c r="AO538" s="25"/>
      <c r="AP538" s="28"/>
      <c r="AQ538" s="25"/>
      <c r="AR538" s="25"/>
      <c r="AS538" s="28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F538" s="25"/>
      <c r="BG538" s="25"/>
      <c r="BH538" s="25"/>
      <c r="BI538" s="25"/>
      <c r="BJ538" s="24"/>
      <c r="BK538" s="24"/>
      <c r="BL538" s="25"/>
      <c r="BM538" s="25"/>
      <c r="BN538" s="25"/>
    </row>
    <row r="539" spans="1:66" ht="13.5" customHeight="1" x14ac:dyDescent="0.2">
      <c r="A539" s="22"/>
      <c r="B539" s="23"/>
      <c r="C539" s="23"/>
      <c r="D539" s="24"/>
      <c r="E539" s="24"/>
      <c r="F539" s="24"/>
      <c r="G539" s="24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7"/>
      <c r="AN539" s="25"/>
      <c r="AO539" s="25"/>
      <c r="AP539" s="28"/>
      <c r="AQ539" s="25"/>
      <c r="AR539" s="25"/>
      <c r="AS539" s="28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F539" s="25"/>
      <c r="BG539" s="25"/>
      <c r="BH539" s="25"/>
      <c r="BI539" s="25"/>
      <c r="BJ539" s="24"/>
      <c r="BK539" s="24"/>
      <c r="BL539" s="25"/>
      <c r="BM539" s="25"/>
      <c r="BN539" s="25"/>
    </row>
    <row r="540" spans="1:66" ht="13.5" customHeight="1" x14ac:dyDescent="0.2">
      <c r="A540" s="22"/>
      <c r="B540" s="23"/>
      <c r="C540" s="23"/>
      <c r="D540" s="24"/>
      <c r="E540" s="24"/>
      <c r="F540" s="24"/>
      <c r="G540" s="24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7"/>
      <c r="AN540" s="25"/>
      <c r="AO540" s="25"/>
      <c r="AP540" s="28"/>
      <c r="AQ540" s="25"/>
      <c r="AR540" s="25"/>
      <c r="AS540" s="28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F540" s="25"/>
      <c r="BG540" s="25"/>
      <c r="BH540" s="25"/>
      <c r="BI540" s="25"/>
      <c r="BJ540" s="24"/>
      <c r="BK540" s="24"/>
      <c r="BL540" s="25"/>
      <c r="BM540" s="25"/>
      <c r="BN540" s="25"/>
    </row>
    <row r="541" spans="1:66" ht="13.5" customHeight="1" x14ac:dyDescent="0.2">
      <c r="A541" s="22"/>
      <c r="B541" s="23"/>
      <c r="C541" s="23"/>
      <c r="D541" s="24"/>
      <c r="E541" s="24"/>
      <c r="F541" s="24"/>
      <c r="G541" s="24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7"/>
      <c r="AN541" s="25"/>
      <c r="AO541" s="25"/>
      <c r="AP541" s="28"/>
      <c r="AQ541" s="25"/>
      <c r="AR541" s="25"/>
      <c r="AS541" s="28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F541" s="25"/>
      <c r="BG541" s="25"/>
      <c r="BH541" s="25"/>
      <c r="BI541" s="25"/>
      <c r="BJ541" s="24"/>
      <c r="BK541" s="24"/>
      <c r="BL541" s="25"/>
      <c r="BM541" s="25"/>
      <c r="BN541" s="25"/>
    </row>
    <row r="542" spans="1:66" ht="13.5" customHeight="1" x14ac:dyDescent="0.2">
      <c r="A542" s="22"/>
      <c r="B542" s="23"/>
      <c r="C542" s="23"/>
      <c r="D542" s="24"/>
      <c r="E542" s="24"/>
      <c r="F542" s="24"/>
      <c r="G542" s="24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7"/>
      <c r="AN542" s="25"/>
      <c r="AO542" s="25"/>
      <c r="AP542" s="28"/>
      <c r="AQ542" s="25"/>
      <c r="AR542" s="25"/>
      <c r="AS542" s="28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F542" s="25"/>
      <c r="BG542" s="25"/>
      <c r="BH542" s="25"/>
      <c r="BI542" s="25"/>
      <c r="BJ542" s="24"/>
      <c r="BK542" s="24"/>
      <c r="BL542" s="25"/>
      <c r="BM542" s="25"/>
      <c r="BN542" s="25"/>
    </row>
    <row r="543" spans="1:66" ht="13.5" customHeight="1" x14ac:dyDescent="0.2">
      <c r="A543" s="22"/>
      <c r="B543" s="23"/>
      <c r="C543" s="23"/>
      <c r="D543" s="24"/>
      <c r="E543" s="24"/>
      <c r="F543" s="24"/>
      <c r="G543" s="24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7"/>
      <c r="AN543" s="25"/>
      <c r="AO543" s="25"/>
      <c r="AP543" s="28"/>
      <c r="AQ543" s="25"/>
      <c r="AR543" s="25"/>
      <c r="AS543" s="28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F543" s="25"/>
      <c r="BG543" s="25"/>
      <c r="BH543" s="25"/>
      <c r="BI543" s="25"/>
      <c r="BJ543" s="24"/>
      <c r="BK543" s="24"/>
      <c r="BL543" s="25"/>
      <c r="BM543" s="25"/>
      <c r="BN543" s="25"/>
    </row>
    <row r="544" spans="1:66" ht="13.5" customHeight="1" x14ac:dyDescent="0.2">
      <c r="A544" s="22"/>
      <c r="B544" s="23"/>
      <c r="C544" s="23"/>
      <c r="D544" s="24"/>
      <c r="E544" s="24"/>
      <c r="F544" s="24"/>
      <c r="G544" s="24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7"/>
      <c r="AN544" s="25"/>
      <c r="AO544" s="25"/>
      <c r="AP544" s="28"/>
      <c r="AQ544" s="25"/>
      <c r="AR544" s="25"/>
      <c r="AS544" s="28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F544" s="25"/>
      <c r="BG544" s="25"/>
      <c r="BH544" s="25"/>
      <c r="BI544" s="25"/>
      <c r="BJ544" s="24"/>
      <c r="BK544" s="24"/>
      <c r="BL544" s="25"/>
      <c r="BM544" s="25"/>
      <c r="BN544" s="25"/>
    </row>
    <row r="545" spans="1:66" ht="13.5" customHeight="1" x14ac:dyDescent="0.2">
      <c r="A545" s="22"/>
      <c r="B545" s="23"/>
      <c r="C545" s="23"/>
      <c r="D545" s="24"/>
      <c r="E545" s="24"/>
      <c r="F545" s="24"/>
      <c r="G545" s="24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7"/>
      <c r="AN545" s="25"/>
      <c r="AO545" s="25"/>
      <c r="AP545" s="28"/>
      <c r="AQ545" s="25"/>
      <c r="AR545" s="25"/>
      <c r="AS545" s="28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F545" s="25"/>
      <c r="BG545" s="25"/>
      <c r="BH545" s="25"/>
      <c r="BI545" s="25"/>
      <c r="BJ545" s="24"/>
      <c r="BK545" s="24"/>
      <c r="BL545" s="25"/>
      <c r="BM545" s="25"/>
      <c r="BN545" s="25"/>
    </row>
    <row r="546" spans="1:66" ht="13.5" customHeight="1" x14ac:dyDescent="0.2">
      <c r="A546" s="22"/>
      <c r="B546" s="23"/>
      <c r="C546" s="23"/>
      <c r="D546" s="24"/>
      <c r="E546" s="24"/>
      <c r="F546" s="24"/>
      <c r="G546" s="24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7"/>
      <c r="AN546" s="25"/>
      <c r="AO546" s="25"/>
      <c r="AP546" s="28"/>
      <c r="AQ546" s="25"/>
      <c r="AR546" s="25"/>
      <c r="AS546" s="28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F546" s="25"/>
      <c r="BG546" s="25"/>
      <c r="BH546" s="25"/>
      <c r="BI546" s="25"/>
      <c r="BJ546" s="24"/>
      <c r="BK546" s="24"/>
      <c r="BL546" s="25"/>
      <c r="BM546" s="25"/>
      <c r="BN546" s="25"/>
    </row>
    <row r="547" spans="1:66" ht="13.5" customHeight="1" x14ac:dyDescent="0.2">
      <c r="A547" s="22"/>
      <c r="B547" s="23"/>
      <c r="C547" s="23"/>
      <c r="D547" s="24"/>
      <c r="E547" s="24"/>
      <c r="F547" s="24"/>
      <c r="G547" s="24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7"/>
      <c r="AN547" s="25"/>
      <c r="AO547" s="25"/>
      <c r="AP547" s="28"/>
      <c r="AQ547" s="25"/>
      <c r="AR547" s="25"/>
      <c r="AS547" s="28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F547" s="25"/>
      <c r="BG547" s="25"/>
      <c r="BH547" s="25"/>
      <c r="BI547" s="25"/>
      <c r="BJ547" s="24"/>
      <c r="BK547" s="24"/>
      <c r="BL547" s="25"/>
      <c r="BM547" s="25"/>
      <c r="BN547" s="25"/>
    </row>
    <row r="548" spans="1:66" ht="13.5" customHeight="1" x14ac:dyDescent="0.2">
      <c r="A548" s="22"/>
      <c r="B548" s="23"/>
      <c r="C548" s="23"/>
      <c r="D548" s="24"/>
      <c r="E548" s="24"/>
      <c r="F548" s="24"/>
      <c r="G548" s="24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7"/>
      <c r="AN548" s="25"/>
      <c r="AO548" s="25"/>
      <c r="AP548" s="28"/>
      <c r="AQ548" s="25"/>
      <c r="AR548" s="25"/>
      <c r="AS548" s="28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F548" s="25"/>
      <c r="BG548" s="25"/>
      <c r="BH548" s="25"/>
      <c r="BI548" s="25"/>
      <c r="BJ548" s="24"/>
      <c r="BK548" s="24"/>
      <c r="BL548" s="25"/>
      <c r="BM548" s="25"/>
      <c r="BN548" s="25"/>
    </row>
    <row r="549" spans="1:66" ht="13.5" customHeight="1" x14ac:dyDescent="0.2">
      <c r="A549" s="22"/>
      <c r="B549" s="23"/>
      <c r="C549" s="23"/>
      <c r="D549" s="24"/>
      <c r="E549" s="24"/>
      <c r="F549" s="24"/>
      <c r="G549" s="24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7"/>
      <c r="AN549" s="25"/>
      <c r="AO549" s="25"/>
      <c r="AP549" s="28"/>
      <c r="AQ549" s="25"/>
      <c r="AR549" s="25"/>
      <c r="AS549" s="28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F549" s="25"/>
      <c r="BG549" s="25"/>
      <c r="BH549" s="25"/>
      <c r="BI549" s="25"/>
      <c r="BJ549" s="24"/>
      <c r="BK549" s="24"/>
      <c r="BL549" s="25"/>
      <c r="BM549" s="25"/>
      <c r="BN549" s="25"/>
    </row>
    <row r="550" spans="1:66" ht="13.5" customHeight="1" x14ac:dyDescent="0.2">
      <c r="A550" s="22"/>
      <c r="B550" s="23"/>
      <c r="C550" s="23"/>
      <c r="D550" s="24"/>
      <c r="E550" s="24"/>
      <c r="F550" s="24"/>
      <c r="G550" s="24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7"/>
      <c r="AN550" s="25"/>
      <c r="AO550" s="25"/>
      <c r="AP550" s="28"/>
      <c r="AQ550" s="25"/>
      <c r="AR550" s="25"/>
      <c r="AS550" s="28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F550" s="25"/>
      <c r="BG550" s="25"/>
      <c r="BH550" s="25"/>
      <c r="BI550" s="25"/>
      <c r="BJ550" s="24"/>
      <c r="BK550" s="24"/>
      <c r="BL550" s="25"/>
      <c r="BM550" s="25"/>
      <c r="BN550" s="25"/>
    </row>
    <row r="551" spans="1:66" ht="13.5" customHeight="1" x14ac:dyDescent="0.2">
      <c r="A551" s="22"/>
      <c r="B551" s="23"/>
      <c r="C551" s="23"/>
      <c r="D551" s="24"/>
      <c r="E551" s="24"/>
      <c r="F551" s="24"/>
      <c r="G551" s="24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7"/>
      <c r="AN551" s="25"/>
      <c r="AO551" s="25"/>
      <c r="AP551" s="28"/>
      <c r="AQ551" s="25"/>
      <c r="AR551" s="25"/>
      <c r="AS551" s="28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F551" s="25"/>
      <c r="BG551" s="25"/>
      <c r="BH551" s="25"/>
      <c r="BI551" s="25"/>
      <c r="BJ551" s="24"/>
      <c r="BK551" s="24"/>
      <c r="BL551" s="25"/>
      <c r="BM551" s="25"/>
      <c r="BN551" s="25"/>
    </row>
    <row r="552" spans="1:66" ht="13.5" customHeight="1" x14ac:dyDescent="0.2">
      <c r="A552" s="22"/>
      <c r="B552" s="23"/>
      <c r="C552" s="23"/>
      <c r="D552" s="24"/>
      <c r="E552" s="24"/>
      <c r="F552" s="24"/>
      <c r="G552" s="24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7"/>
      <c r="AN552" s="25"/>
      <c r="AO552" s="25"/>
      <c r="AP552" s="28"/>
      <c r="AQ552" s="25"/>
      <c r="AR552" s="25"/>
      <c r="AS552" s="28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F552" s="25"/>
      <c r="BG552" s="25"/>
      <c r="BH552" s="25"/>
      <c r="BI552" s="25"/>
      <c r="BJ552" s="24"/>
      <c r="BK552" s="24"/>
      <c r="BL552" s="25"/>
      <c r="BM552" s="25"/>
      <c r="BN552" s="25"/>
    </row>
    <row r="553" spans="1:66" ht="13.5" customHeight="1" x14ac:dyDescent="0.2">
      <c r="A553" s="22"/>
      <c r="B553" s="23"/>
      <c r="C553" s="23"/>
      <c r="D553" s="24"/>
      <c r="E553" s="24"/>
      <c r="F553" s="24"/>
      <c r="G553" s="24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7"/>
      <c r="AN553" s="25"/>
      <c r="AO553" s="25"/>
      <c r="AP553" s="28"/>
      <c r="AQ553" s="25"/>
      <c r="AR553" s="25"/>
      <c r="AS553" s="28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F553" s="25"/>
      <c r="BG553" s="25"/>
      <c r="BH553" s="25"/>
      <c r="BI553" s="25"/>
      <c r="BJ553" s="24"/>
      <c r="BK553" s="24"/>
      <c r="BL553" s="25"/>
      <c r="BM553" s="25"/>
      <c r="BN553" s="25"/>
    </row>
    <row r="554" spans="1:66" ht="13.5" customHeight="1" x14ac:dyDescent="0.2">
      <c r="A554" s="22"/>
      <c r="B554" s="23"/>
      <c r="C554" s="23"/>
      <c r="D554" s="24"/>
      <c r="E554" s="24"/>
      <c r="F554" s="24"/>
      <c r="G554" s="24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7"/>
      <c r="AN554" s="25"/>
      <c r="AO554" s="25"/>
      <c r="AP554" s="28"/>
      <c r="AQ554" s="25"/>
      <c r="AR554" s="25"/>
      <c r="AS554" s="28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F554" s="25"/>
      <c r="BG554" s="25"/>
      <c r="BH554" s="25"/>
      <c r="BI554" s="25"/>
      <c r="BJ554" s="24"/>
      <c r="BK554" s="24"/>
      <c r="BL554" s="25"/>
      <c r="BM554" s="25"/>
      <c r="BN554" s="25"/>
    </row>
    <row r="555" spans="1:66" ht="13.5" customHeight="1" x14ac:dyDescent="0.2">
      <c r="A555" s="22"/>
      <c r="B555" s="23"/>
      <c r="C555" s="23"/>
      <c r="D555" s="24"/>
      <c r="E555" s="24"/>
      <c r="F555" s="24"/>
      <c r="G555" s="24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7"/>
      <c r="AN555" s="25"/>
      <c r="AO555" s="25"/>
      <c r="AP555" s="28"/>
      <c r="AQ555" s="25"/>
      <c r="AR555" s="25"/>
      <c r="AS555" s="28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F555" s="25"/>
      <c r="BG555" s="25"/>
      <c r="BH555" s="25"/>
      <c r="BI555" s="25"/>
      <c r="BJ555" s="24"/>
      <c r="BK555" s="24"/>
      <c r="BL555" s="25"/>
      <c r="BM555" s="25"/>
      <c r="BN555" s="25"/>
    </row>
    <row r="556" spans="1:66" ht="13.5" customHeight="1" x14ac:dyDescent="0.2">
      <c r="A556" s="22"/>
      <c r="B556" s="23"/>
      <c r="C556" s="23"/>
      <c r="D556" s="24"/>
      <c r="E556" s="24"/>
      <c r="F556" s="24"/>
      <c r="G556" s="24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7"/>
      <c r="AN556" s="25"/>
      <c r="AO556" s="25"/>
      <c r="AP556" s="28"/>
      <c r="AQ556" s="25"/>
      <c r="AR556" s="25"/>
      <c r="AS556" s="28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F556" s="25"/>
      <c r="BG556" s="25"/>
      <c r="BH556" s="25"/>
      <c r="BI556" s="25"/>
      <c r="BJ556" s="24"/>
      <c r="BK556" s="24"/>
      <c r="BL556" s="25"/>
      <c r="BM556" s="25"/>
      <c r="BN556" s="25"/>
    </row>
    <row r="557" spans="1:66" ht="13.5" customHeight="1" x14ac:dyDescent="0.2">
      <c r="A557" s="22"/>
      <c r="B557" s="23"/>
      <c r="C557" s="23"/>
      <c r="D557" s="24"/>
      <c r="E557" s="24"/>
      <c r="F557" s="24"/>
      <c r="G557" s="24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7"/>
      <c r="AN557" s="25"/>
      <c r="AO557" s="25"/>
      <c r="AP557" s="28"/>
      <c r="AQ557" s="25"/>
      <c r="AR557" s="25"/>
      <c r="AS557" s="28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F557" s="25"/>
      <c r="BG557" s="25"/>
      <c r="BH557" s="25"/>
      <c r="BI557" s="25"/>
      <c r="BJ557" s="24"/>
      <c r="BK557" s="24"/>
      <c r="BL557" s="25"/>
      <c r="BM557" s="25"/>
      <c r="BN557" s="25"/>
    </row>
    <row r="558" spans="1:66" ht="13.5" customHeight="1" x14ac:dyDescent="0.2">
      <c r="A558" s="22"/>
      <c r="B558" s="23"/>
      <c r="C558" s="23"/>
      <c r="D558" s="24"/>
      <c r="E558" s="24"/>
      <c r="F558" s="24"/>
      <c r="G558" s="24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7"/>
      <c r="AN558" s="25"/>
      <c r="AO558" s="25"/>
      <c r="AP558" s="28"/>
      <c r="AQ558" s="25"/>
      <c r="AR558" s="25"/>
      <c r="AS558" s="28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F558" s="25"/>
      <c r="BG558" s="25"/>
      <c r="BH558" s="25"/>
      <c r="BI558" s="25"/>
      <c r="BJ558" s="24"/>
      <c r="BK558" s="24"/>
      <c r="BL558" s="25"/>
      <c r="BM558" s="25"/>
      <c r="BN558" s="25"/>
    </row>
    <row r="559" spans="1:66" ht="13.5" customHeight="1" x14ac:dyDescent="0.2">
      <c r="A559" s="22"/>
      <c r="B559" s="23"/>
      <c r="C559" s="23"/>
      <c r="D559" s="24"/>
      <c r="E559" s="24"/>
      <c r="F559" s="24"/>
      <c r="G559" s="24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7"/>
      <c r="AN559" s="25"/>
      <c r="AO559" s="25"/>
      <c r="AP559" s="28"/>
      <c r="AQ559" s="25"/>
      <c r="AR559" s="25"/>
      <c r="AS559" s="28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F559" s="25"/>
      <c r="BG559" s="25"/>
      <c r="BH559" s="25"/>
      <c r="BI559" s="25"/>
      <c r="BJ559" s="24"/>
      <c r="BK559" s="24"/>
      <c r="BL559" s="25"/>
      <c r="BM559" s="25"/>
      <c r="BN559" s="25"/>
    </row>
    <row r="560" spans="1:66" ht="13.5" customHeight="1" x14ac:dyDescent="0.2">
      <c r="A560" s="22"/>
      <c r="B560" s="23"/>
      <c r="C560" s="23"/>
      <c r="D560" s="24"/>
      <c r="E560" s="24"/>
      <c r="F560" s="24"/>
      <c r="G560" s="24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7"/>
      <c r="AN560" s="25"/>
      <c r="AO560" s="25"/>
      <c r="AP560" s="28"/>
      <c r="AQ560" s="25"/>
      <c r="AR560" s="25"/>
      <c r="AS560" s="28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F560" s="25"/>
      <c r="BG560" s="25"/>
      <c r="BH560" s="25"/>
      <c r="BI560" s="25"/>
      <c r="BJ560" s="24"/>
      <c r="BK560" s="24"/>
      <c r="BL560" s="25"/>
      <c r="BM560" s="25"/>
      <c r="BN560" s="25"/>
    </row>
    <row r="561" spans="1:66" ht="13.5" customHeight="1" x14ac:dyDescent="0.2">
      <c r="A561" s="22"/>
      <c r="B561" s="23"/>
      <c r="C561" s="23"/>
      <c r="D561" s="24"/>
      <c r="E561" s="24"/>
      <c r="F561" s="24"/>
      <c r="G561" s="24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7"/>
      <c r="AN561" s="25"/>
      <c r="AO561" s="25"/>
      <c r="AP561" s="28"/>
      <c r="AQ561" s="25"/>
      <c r="AR561" s="25"/>
      <c r="AS561" s="28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F561" s="25"/>
      <c r="BG561" s="25"/>
      <c r="BH561" s="25"/>
      <c r="BI561" s="25"/>
      <c r="BJ561" s="24"/>
      <c r="BK561" s="24"/>
      <c r="BL561" s="25"/>
      <c r="BM561" s="25"/>
      <c r="BN561" s="25"/>
    </row>
    <row r="562" spans="1:66" ht="13.5" customHeight="1" x14ac:dyDescent="0.2">
      <c r="A562" s="22"/>
      <c r="B562" s="23"/>
      <c r="C562" s="23"/>
      <c r="D562" s="24"/>
      <c r="E562" s="24"/>
      <c r="F562" s="24"/>
      <c r="G562" s="24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7"/>
      <c r="AN562" s="25"/>
      <c r="AO562" s="25"/>
      <c r="AP562" s="28"/>
      <c r="AQ562" s="25"/>
      <c r="AR562" s="25"/>
      <c r="AS562" s="28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F562" s="25"/>
      <c r="BG562" s="25"/>
      <c r="BH562" s="25"/>
      <c r="BI562" s="25"/>
      <c r="BJ562" s="24"/>
      <c r="BK562" s="24"/>
      <c r="BL562" s="25"/>
      <c r="BM562" s="25"/>
      <c r="BN562" s="25"/>
    </row>
    <row r="563" spans="1:66" ht="13.5" customHeight="1" x14ac:dyDescent="0.2">
      <c r="A563" s="22"/>
      <c r="B563" s="23"/>
      <c r="C563" s="23"/>
      <c r="D563" s="24"/>
      <c r="E563" s="24"/>
      <c r="F563" s="24"/>
      <c r="G563" s="24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7"/>
      <c r="AN563" s="25"/>
      <c r="AO563" s="25"/>
      <c r="AP563" s="28"/>
      <c r="AQ563" s="25"/>
      <c r="AR563" s="25"/>
      <c r="AS563" s="28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F563" s="25"/>
      <c r="BG563" s="25"/>
      <c r="BH563" s="25"/>
      <c r="BI563" s="25"/>
      <c r="BJ563" s="24"/>
      <c r="BK563" s="24"/>
      <c r="BL563" s="25"/>
      <c r="BM563" s="25"/>
      <c r="BN563" s="25"/>
    </row>
    <row r="564" spans="1:66" ht="13.5" customHeight="1" x14ac:dyDescent="0.2">
      <c r="A564" s="22"/>
      <c r="B564" s="23"/>
      <c r="C564" s="23"/>
      <c r="D564" s="24"/>
      <c r="E564" s="24"/>
      <c r="F564" s="24"/>
      <c r="G564" s="24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7"/>
      <c r="AN564" s="25"/>
      <c r="AO564" s="25"/>
      <c r="AP564" s="28"/>
      <c r="AQ564" s="25"/>
      <c r="AR564" s="25"/>
      <c r="AS564" s="28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F564" s="25"/>
      <c r="BG564" s="25"/>
      <c r="BH564" s="25"/>
      <c r="BI564" s="25"/>
      <c r="BJ564" s="24"/>
      <c r="BK564" s="24"/>
      <c r="BL564" s="25"/>
      <c r="BM564" s="25"/>
      <c r="BN564" s="25"/>
    </row>
    <row r="565" spans="1:66" ht="13.5" customHeight="1" x14ac:dyDescent="0.2">
      <c r="A565" s="22"/>
      <c r="B565" s="23"/>
      <c r="C565" s="23"/>
      <c r="D565" s="24"/>
      <c r="E565" s="24"/>
      <c r="F565" s="24"/>
      <c r="G565" s="24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7"/>
      <c r="AN565" s="25"/>
      <c r="AO565" s="25"/>
      <c r="AP565" s="28"/>
      <c r="AQ565" s="25"/>
      <c r="AR565" s="25"/>
      <c r="AS565" s="28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F565" s="25"/>
      <c r="BG565" s="25"/>
      <c r="BH565" s="25"/>
      <c r="BI565" s="25"/>
      <c r="BJ565" s="24"/>
      <c r="BK565" s="24"/>
      <c r="BL565" s="25"/>
      <c r="BM565" s="25"/>
      <c r="BN565" s="25"/>
    </row>
    <row r="566" spans="1:66" ht="13.5" customHeight="1" x14ac:dyDescent="0.2">
      <c r="A566" s="22"/>
      <c r="B566" s="23"/>
      <c r="C566" s="23"/>
      <c r="D566" s="24"/>
      <c r="E566" s="24"/>
      <c r="F566" s="24"/>
      <c r="G566" s="24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7"/>
      <c r="AN566" s="25"/>
      <c r="AO566" s="25"/>
      <c r="AP566" s="28"/>
      <c r="AQ566" s="25"/>
      <c r="AR566" s="25"/>
      <c r="AS566" s="28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F566" s="25"/>
      <c r="BG566" s="25"/>
      <c r="BH566" s="25"/>
      <c r="BI566" s="25"/>
      <c r="BJ566" s="24"/>
      <c r="BK566" s="24"/>
      <c r="BL566" s="25"/>
      <c r="BM566" s="25"/>
      <c r="BN566" s="25"/>
    </row>
    <row r="567" spans="1:66" ht="13.5" customHeight="1" x14ac:dyDescent="0.2">
      <c r="A567" s="22"/>
      <c r="B567" s="23"/>
      <c r="C567" s="23"/>
      <c r="D567" s="24"/>
      <c r="E567" s="24"/>
      <c r="F567" s="24"/>
      <c r="G567" s="24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7"/>
      <c r="AN567" s="25"/>
      <c r="AO567" s="25"/>
      <c r="AP567" s="28"/>
      <c r="AQ567" s="25"/>
      <c r="AR567" s="25"/>
      <c r="AS567" s="28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F567" s="25"/>
      <c r="BG567" s="25"/>
      <c r="BH567" s="25"/>
      <c r="BI567" s="25"/>
      <c r="BJ567" s="24"/>
      <c r="BK567" s="24"/>
      <c r="BL567" s="25"/>
      <c r="BM567" s="25"/>
      <c r="BN567" s="25"/>
    </row>
    <row r="568" spans="1:66" ht="13.5" customHeight="1" x14ac:dyDescent="0.2">
      <c r="A568" s="22"/>
      <c r="B568" s="23"/>
      <c r="C568" s="23"/>
      <c r="D568" s="24"/>
      <c r="E568" s="24"/>
      <c r="F568" s="24"/>
      <c r="G568" s="24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7"/>
      <c r="AN568" s="25"/>
      <c r="AO568" s="25"/>
      <c r="AP568" s="28"/>
      <c r="AQ568" s="25"/>
      <c r="AR568" s="25"/>
      <c r="AS568" s="28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F568" s="25"/>
      <c r="BG568" s="25"/>
      <c r="BH568" s="25"/>
      <c r="BI568" s="25"/>
      <c r="BJ568" s="24"/>
      <c r="BK568" s="24"/>
      <c r="BL568" s="25"/>
      <c r="BM568" s="25"/>
      <c r="BN568" s="25"/>
    </row>
    <row r="569" spans="1:66" ht="13.5" customHeight="1" x14ac:dyDescent="0.2">
      <c r="A569" s="22"/>
      <c r="B569" s="23"/>
      <c r="C569" s="23"/>
      <c r="D569" s="24"/>
      <c r="E569" s="24"/>
      <c r="F569" s="24"/>
      <c r="G569" s="24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7"/>
      <c r="AN569" s="25"/>
      <c r="AO569" s="25"/>
      <c r="AP569" s="28"/>
      <c r="AQ569" s="25"/>
      <c r="AR569" s="25"/>
      <c r="AS569" s="28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F569" s="25"/>
      <c r="BG569" s="25"/>
      <c r="BH569" s="25"/>
      <c r="BI569" s="25"/>
      <c r="BJ569" s="24"/>
      <c r="BK569" s="24"/>
      <c r="BL569" s="25"/>
      <c r="BM569" s="25"/>
      <c r="BN569" s="25"/>
    </row>
    <row r="570" spans="1:66" ht="13.5" customHeight="1" x14ac:dyDescent="0.2">
      <c r="A570" s="22"/>
      <c r="B570" s="23"/>
      <c r="C570" s="23"/>
      <c r="D570" s="24"/>
      <c r="E570" s="24"/>
      <c r="F570" s="24"/>
      <c r="G570" s="24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7"/>
      <c r="AN570" s="25"/>
      <c r="AO570" s="25"/>
      <c r="AP570" s="28"/>
      <c r="AQ570" s="25"/>
      <c r="AR570" s="25"/>
      <c r="AS570" s="28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F570" s="25"/>
      <c r="BG570" s="25"/>
      <c r="BH570" s="25"/>
      <c r="BI570" s="25"/>
      <c r="BJ570" s="24"/>
      <c r="BK570" s="24"/>
      <c r="BL570" s="25"/>
      <c r="BM570" s="25"/>
      <c r="BN570" s="25"/>
    </row>
    <row r="571" spans="1:66" ht="13.5" customHeight="1" x14ac:dyDescent="0.2">
      <c r="A571" s="22"/>
      <c r="B571" s="23"/>
      <c r="C571" s="23"/>
      <c r="D571" s="24"/>
      <c r="E571" s="24"/>
      <c r="F571" s="24"/>
      <c r="G571" s="24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7"/>
      <c r="AN571" s="25"/>
      <c r="AO571" s="25"/>
      <c r="AP571" s="28"/>
      <c r="AQ571" s="25"/>
      <c r="AR571" s="25"/>
      <c r="AS571" s="28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F571" s="25"/>
      <c r="BG571" s="25"/>
      <c r="BH571" s="25"/>
      <c r="BI571" s="25"/>
      <c r="BJ571" s="24"/>
      <c r="BK571" s="24"/>
      <c r="BL571" s="25"/>
      <c r="BM571" s="25"/>
      <c r="BN571" s="25"/>
    </row>
    <row r="572" spans="1:66" ht="13.5" customHeight="1" x14ac:dyDescent="0.2">
      <c r="A572" s="22"/>
      <c r="B572" s="23"/>
      <c r="C572" s="23"/>
      <c r="D572" s="24"/>
      <c r="E572" s="24"/>
      <c r="F572" s="24"/>
      <c r="G572" s="24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7"/>
      <c r="AN572" s="25"/>
      <c r="AO572" s="25"/>
      <c r="AP572" s="28"/>
      <c r="AQ572" s="25"/>
      <c r="AR572" s="25"/>
      <c r="AS572" s="28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F572" s="25"/>
      <c r="BG572" s="25"/>
      <c r="BH572" s="25"/>
      <c r="BI572" s="25"/>
      <c r="BJ572" s="24"/>
      <c r="BK572" s="24"/>
      <c r="BL572" s="25"/>
      <c r="BM572" s="25"/>
      <c r="BN572" s="25"/>
    </row>
    <row r="573" spans="1:66" ht="13.5" customHeight="1" x14ac:dyDescent="0.2">
      <c r="A573" s="22"/>
      <c r="B573" s="23"/>
      <c r="C573" s="23"/>
      <c r="D573" s="24"/>
      <c r="E573" s="24"/>
      <c r="F573" s="24"/>
      <c r="G573" s="24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7"/>
      <c r="AN573" s="25"/>
      <c r="AO573" s="25"/>
      <c r="AP573" s="28"/>
      <c r="AQ573" s="25"/>
      <c r="AR573" s="25"/>
      <c r="AS573" s="28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F573" s="25"/>
      <c r="BG573" s="25"/>
      <c r="BH573" s="25"/>
      <c r="BI573" s="25"/>
      <c r="BJ573" s="24"/>
      <c r="BK573" s="24"/>
      <c r="BL573" s="25"/>
      <c r="BM573" s="25"/>
      <c r="BN573" s="25"/>
    </row>
    <row r="574" spans="1:66" ht="13.5" customHeight="1" x14ac:dyDescent="0.2">
      <c r="A574" s="22"/>
      <c r="B574" s="23"/>
      <c r="C574" s="23"/>
      <c r="D574" s="24"/>
      <c r="E574" s="24"/>
      <c r="F574" s="24"/>
      <c r="G574" s="24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7"/>
      <c r="AN574" s="25"/>
      <c r="AO574" s="25"/>
      <c r="AP574" s="28"/>
      <c r="AQ574" s="25"/>
      <c r="AR574" s="25"/>
      <c r="AS574" s="28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F574" s="25"/>
      <c r="BG574" s="25"/>
      <c r="BH574" s="25"/>
      <c r="BI574" s="25"/>
      <c r="BJ574" s="24"/>
      <c r="BK574" s="24"/>
      <c r="BL574" s="25"/>
      <c r="BM574" s="25"/>
      <c r="BN574" s="25"/>
    </row>
    <row r="575" spans="1:66" ht="13.5" customHeight="1" x14ac:dyDescent="0.2">
      <c r="A575" s="22"/>
      <c r="B575" s="23"/>
      <c r="C575" s="23"/>
      <c r="D575" s="24"/>
      <c r="E575" s="24"/>
      <c r="F575" s="24"/>
      <c r="G575" s="24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7"/>
      <c r="AN575" s="25"/>
      <c r="AO575" s="25"/>
      <c r="AP575" s="28"/>
      <c r="AQ575" s="25"/>
      <c r="AR575" s="25"/>
      <c r="AS575" s="28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F575" s="25"/>
      <c r="BG575" s="25"/>
      <c r="BH575" s="25"/>
      <c r="BI575" s="25"/>
      <c r="BJ575" s="24"/>
      <c r="BK575" s="24"/>
      <c r="BL575" s="25"/>
      <c r="BM575" s="25"/>
      <c r="BN575" s="25"/>
    </row>
    <row r="576" spans="1:66" ht="13.5" customHeight="1" x14ac:dyDescent="0.2">
      <c r="A576" s="22"/>
      <c r="B576" s="23"/>
      <c r="C576" s="23"/>
      <c r="D576" s="24"/>
      <c r="E576" s="24"/>
      <c r="F576" s="24"/>
      <c r="G576" s="24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7"/>
      <c r="AN576" s="25"/>
      <c r="AO576" s="25"/>
      <c r="AP576" s="28"/>
      <c r="AQ576" s="25"/>
      <c r="AR576" s="25"/>
      <c r="AS576" s="28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F576" s="25"/>
      <c r="BG576" s="25"/>
      <c r="BH576" s="25"/>
      <c r="BI576" s="25"/>
      <c r="BJ576" s="24"/>
      <c r="BK576" s="24"/>
      <c r="BL576" s="25"/>
      <c r="BM576" s="25"/>
      <c r="BN576" s="25"/>
    </row>
    <row r="577" spans="1:66" ht="13.5" customHeight="1" x14ac:dyDescent="0.2">
      <c r="A577" s="22"/>
      <c r="B577" s="23"/>
      <c r="C577" s="23"/>
      <c r="D577" s="24"/>
      <c r="E577" s="24"/>
      <c r="F577" s="24"/>
      <c r="G577" s="24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7"/>
      <c r="AN577" s="25"/>
      <c r="AO577" s="25"/>
      <c r="AP577" s="28"/>
      <c r="AQ577" s="25"/>
      <c r="AR577" s="25"/>
      <c r="AS577" s="28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F577" s="25"/>
      <c r="BG577" s="25"/>
      <c r="BH577" s="25"/>
      <c r="BI577" s="25"/>
      <c r="BJ577" s="24"/>
      <c r="BK577" s="24"/>
      <c r="BL577" s="25"/>
      <c r="BM577" s="25"/>
      <c r="BN577" s="25"/>
    </row>
    <row r="578" spans="1:66" ht="13.5" customHeight="1" x14ac:dyDescent="0.2">
      <c r="A578" s="22"/>
      <c r="B578" s="23"/>
      <c r="C578" s="23"/>
      <c r="D578" s="24"/>
      <c r="E578" s="24"/>
      <c r="F578" s="24"/>
      <c r="G578" s="24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7"/>
      <c r="AN578" s="25"/>
      <c r="AO578" s="25"/>
      <c r="AP578" s="28"/>
      <c r="AQ578" s="25"/>
      <c r="AR578" s="25"/>
      <c r="AS578" s="28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F578" s="25"/>
      <c r="BG578" s="25"/>
      <c r="BH578" s="25"/>
      <c r="BI578" s="25"/>
      <c r="BJ578" s="24"/>
      <c r="BK578" s="24"/>
      <c r="BL578" s="25"/>
      <c r="BM578" s="25"/>
      <c r="BN578" s="25"/>
    </row>
    <row r="579" spans="1:66" ht="13.5" customHeight="1" x14ac:dyDescent="0.2">
      <c r="A579" s="22"/>
      <c r="B579" s="23"/>
      <c r="C579" s="23"/>
      <c r="D579" s="24"/>
      <c r="E579" s="24"/>
      <c r="F579" s="24"/>
      <c r="G579" s="24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7"/>
      <c r="AN579" s="25"/>
      <c r="AO579" s="25"/>
      <c r="AP579" s="28"/>
      <c r="AQ579" s="25"/>
      <c r="AR579" s="25"/>
      <c r="AS579" s="28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F579" s="25"/>
      <c r="BG579" s="25"/>
      <c r="BH579" s="25"/>
      <c r="BI579" s="25"/>
      <c r="BJ579" s="24"/>
      <c r="BK579" s="24"/>
      <c r="BL579" s="25"/>
      <c r="BM579" s="25"/>
      <c r="BN579" s="25"/>
    </row>
    <row r="580" spans="1:66" ht="13.5" customHeight="1" x14ac:dyDescent="0.2">
      <c r="A580" s="22"/>
      <c r="B580" s="23"/>
      <c r="C580" s="23"/>
      <c r="D580" s="24"/>
      <c r="E580" s="24"/>
      <c r="F580" s="24"/>
      <c r="G580" s="24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7"/>
      <c r="AN580" s="25"/>
      <c r="AO580" s="25"/>
      <c r="AP580" s="28"/>
      <c r="AQ580" s="25"/>
      <c r="AR580" s="25"/>
      <c r="AS580" s="28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F580" s="25"/>
      <c r="BG580" s="25"/>
      <c r="BH580" s="25"/>
      <c r="BI580" s="25"/>
      <c r="BJ580" s="24"/>
      <c r="BK580" s="24"/>
      <c r="BL580" s="25"/>
      <c r="BM580" s="25"/>
      <c r="BN580" s="25"/>
    </row>
    <row r="581" spans="1:66" ht="13.5" customHeight="1" x14ac:dyDescent="0.2">
      <c r="A581" s="22"/>
      <c r="B581" s="23"/>
      <c r="C581" s="23"/>
      <c r="D581" s="24"/>
      <c r="E581" s="24"/>
      <c r="F581" s="24"/>
      <c r="G581" s="24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7"/>
      <c r="AN581" s="25"/>
      <c r="AO581" s="25"/>
      <c r="AP581" s="28"/>
      <c r="AQ581" s="25"/>
      <c r="AR581" s="25"/>
      <c r="AS581" s="28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F581" s="25"/>
      <c r="BG581" s="25"/>
      <c r="BH581" s="25"/>
      <c r="BI581" s="25"/>
      <c r="BJ581" s="24"/>
      <c r="BK581" s="24"/>
      <c r="BL581" s="25"/>
      <c r="BM581" s="25"/>
      <c r="BN581" s="25"/>
    </row>
    <row r="582" spans="1:66" ht="13.5" customHeight="1" x14ac:dyDescent="0.2">
      <c r="A582" s="22"/>
      <c r="B582" s="23"/>
      <c r="C582" s="23"/>
      <c r="D582" s="24"/>
      <c r="E582" s="24"/>
      <c r="F582" s="24"/>
      <c r="G582" s="24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7"/>
      <c r="AN582" s="25"/>
      <c r="AO582" s="25"/>
      <c r="AP582" s="28"/>
      <c r="AQ582" s="25"/>
      <c r="AR582" s="25"/>
      <c r="AS582" s="28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F582" s="25"/>
      <c r="BG582" s="25"/>
      <c r="BH582" s="25"/>
      <c r="BI582" s="25"/>
      <c r="BJ582" s="24"/>
      <c r="BK582" s="24"/>
      <c r="BL582" s="25"/>
      <c r="BM582" s="25"/>
      <c r="BN582" s="25"/>
    </row>
    <row r="583" spans="1:66" ht="13.5" customHeight="1" x14ac:dyDescent="0.2">
      <c r="A583" s="22"/>
      <c r="B583" s="23"/>
      <c r="C583" s="23"/>
      <c r="D583" s="24"/>
      <c r="E583" s="24"/>
      <c r="F583" s="24"/>
      <c r="G583" s="24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7"/>
      <c r="AN583" s="25"/>
      <c r="AO583" s="25"/>
      <c r="AP583" s="28"/>
      <c r="AQ583" s="25"/>
      <c r="AR583" s="25"/>
      <c r="AS583" s="28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F583" s="25"/>
      <c r="BG583" s="25"/>
      <c r="BH583" s="25"/>
      <c r="BI583" s="25"/>
      <c r="BJ583" s="24"/>
      <c r="BK583" s="24"/>
      <c r="BL583" s="25"/>
      <c r="BM583" s="25"/>
      <c r="BN583" s="25"/>
    </row>
    <row r="584" spans="1:66" ht="13.5" customHeight="1" x14ac:dyDescent="0.2">
      <c r="A584" s="22"/>
      <c r="B584" s="23"/>
      <c r="C584" s="23"/>
      <c r="D584" s="24"/>
      <c r="E584" s="24"/>
      <c r="F584" s="24"/>
      <c r="G584" s="24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7"/>
      <c r="AN584" s="25"/>
      <c r="AO584" s="25"/>
      <c r="AP584" s="28"/>
      <c r="AQ584" s="25"/>
      <c r="AR584" s="25"/>
      <c r="AS584" s="28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F584" s="25"/>
      <c r="BG584" s="25"/>
      <c r="BH584" s="25"/>
      <c r="BI584" s="25"/>
      <c r="BJ584" s="24"/>
      <c r="BK584" s="24"/>
      <c r="BL584" s="25"/>
      <c r="BM584" s="25"/>
      <c r="BN584" s="25"/>
    </row>
    <row r="585" spans="1:66" ht="13.5" customHeight="1" x14ac:dyDescent="0.2">
      <c r="A585" s="22"/>
      <c r="B585" s="23"/>
      <c r="C585" s="23"/>
      <c r="D585" s="24"/>
      <c r="E585" s="24"/>
      <c r="F585" s="24"/>
      <c r="G585" s="24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7"/>
      <c r="AN585" s="25"/>
      <c r="AO585" s="25"/>
      <c r="AP585" s="28"/>
      <c r="AQ585" s="25"/>
      <c r="AR585" s="25"/>
      <c r="AS585" s="28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F585" s="25"/>
      <c r="BG585" s="25"/>
      <c r="BH585" s="25"/>
      <c r="BI585" s="25"/>
      <c r="BJ585" s="24"/>
      <c r="BK585" s="24"/>
      <c r="BL585" s="25"/>
      <c r="BM585" s="25"/>
      <c r="BN585" s="25"/>
    </row>
    <row r="586" spans="1:66" ht="13.5" customHeight="1" x14ac:dyDescent="0.2">
      <c r="A586" s="22"/>
      <c r="B586" s="23"/>
      <c r="C586" s="23"/>
      <c r="D586" s="24"/>
      <c r="E586" s="24"/>
      <c r="F586" s="24"/>
      <c r="G586" s="24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7"/>
      <c r="AN586" s="25"/>
      <c r="AO586" s="25"/>
      <c r="AP586" s="28"/>
      <c r="AQ586" s="25"/>
      <c r="AR586" s="25"/>
      <c r="AS586" s="28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F586" s="25"/>
      <c r="BG586" s="25"/>
      <c r="BH586" s="25"/>
      <c r="BI586" s="25"/>
      <c r="BJ586" s="24"/>
      <c r="BK586" s="24"/>
      <c r="BL586" s="25"/>
      <c r="BM586" s="25"/>
      <c r="BN586" s="25"/>
    </row>
    <row r="587" spans="1:66" ht="13.5" customHeight="1" x14ac:dyDescent="0.2">
      <c r="A587" s="22"/>
      <c r="B587" s="23"/>
      <c r="C587" s="23"/>
      <c r="D587" s="24"/>
      <c r="E587" s="24"/>
      <c r="F587" s="24"/>
      <c r="G587" s="24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7"/>
      <c r="AN587" s="25"/>
      <c r="AO587" s="25"/>
      <c r="AP587" s="28"/>
      <c r="AQ587" s="25"/>
      <c r="AR587" s="25"/>
      <c r="AS587" s="28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F587" s="25"/>
      <c r="BG587" s="25"/>
      <c r="BH587" s="25"/>
      <c r="BI587" s="25"/>
      <c r="BJ587" s="24"/>
      <c r="BK587" s="24"/>
      <c r="BL587" s="25"/>
      <c r="BM587" s="25"/>
      <c r="BN587" s="25"/>
    </row>
    <row r="588" spans="1:66" ht="13.5" customHeight="1" x14ac:dyDescent="0.2">
      <c r="A588" s="22"/>
      <c r="B588" s="23"/>
      <c r="C588" s="23"/>
      <c r="D588" s="24"/>
      <c r="E588" s="24"/>
      <c r="F588" s="24"/>
      <c r="G588" s="24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7"/>
      <c r="AN588" s="25"/>
      <c r="AO588" s="25"/>
      <c r="AP588" s="28"/>
      <c r="AQ588" s="25"/>
      <c r="AR588" s="25"/>
      <c r="AS588" s="28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F588" s="25"/>
      <c r="BG588" s="25"/>
      <c r="BH588" s="25"/>
      <c r="BI588" s="25"/>
      <c r="BJ588" s="24"/>
      <c r="BK588" s="24"/>
      <c r="BL588" s="25"/>
      <c r="BM588" s="25"/>
      <c r="BN588" s="25"/>
    </row>
    <row r="589" spans="1:66" ht="13.5" customHeight="1" x14ac:dyDescent="0.2">
      <c r="A589" s="22"/>
      <c r="B589" s="23"/>
      <c r="C589" s="23"/>
      <c r="D589" s="24"/>
      <c r="E589" s="24"/>
      <c r="F589" s="24"/>
      <c r="G589" s="24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7"/>
      <c r="AN589" s="25"/>
      <c r="AO589" s="25"/>
      <c r="AP589" s="28"/>
      <c r="AQ589" s="25"/>
      <c r="AR589" s="25"/>
      <c r="AS589" s="28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F589" s="25"/>
      <c r="BG589" s="25"/>
      <c r="BH589" s="25"/>
      <c r="BI589" s="25"/>
      <c r="BJ589" s="24"/>
      <c r="BK589" s="24"/>
      <c r="BL589" s="25"/>
      <c r="BM589" s="25"/>
      <c r="BN589" s="25"/>
    </row>
    <row r="590" spans="1:66" ht="13.5" customHeight="1" x14ac:dyDescent="0.2">
      <c r="A590" s="22"/>
      <c r="B590" s="23"/>
      <c r="C590" s="23"/>
      <c r="D590" s="24"/>
      <c r="E590" s="24"/>
      <c r="F590" s="24"/>
      <c r="G590" s="24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7"/>
      <c r="AN590" s="25"/>
      <c r="AO590" s="25"/>
      <c r="AP590" s="28"/>
      <c r="AQ590" s="25"/>
      <c r="AR590" s="25"/>
      <c r="AS590" s="28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F590" s="25"/>
      <c r="BG590" s="25"/>
      <c r="BH590" s="25"/>
      <c r="BI590" s="25"/>
      <c r="BJ590" s="24"/>
      <c r="BK590" s="24"/>
      <c r="BL590" s="25"/>
      <c r="BM590" s="25"/>
      <c r="BN590" s="25"/>
    </row>
    <row r="591" spans="1:66" ht="13.5" customHeight="1" x14ac:dyDescent="0.2">
      <c r="A591" s="22"/>
      <c r="B591" s="23"/>
      <c r="C591" s="23"/>
      <c r="D591" s="24"/>
      <c r="E591" s="24"/>
      <c r="F591" s="24"/>
      <c r="G591" s="24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7"/>
      <c r="AN591" s="25"/>
      <c r="AO591" s="25"/>
      <c r="AP591" s="28"/>
      <c r="AQ591" s="25"/>
      <c r="AR591" s="25"/>
      <c r="AS591" s="28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F591" s="25"/>
      <c r="BG591" s="25"/>
      <c r="BH591" s="25"/>
      <c r="BI591" s="25"/>
      <c r="BJ591" s="24"/>
      <c r="BK591" s="24"/>
      <c r="BL591" s="25"/>
      <c r="BM591" s="25"/>
      <c r="BN591" s="25"/>
    </row>
    <row r="592" spans="1:66" ht="13.5" customHeight="1" x14ac:dyDescent="0.2">
      <c r="A592" s="22"/>
      <c r="B592" s="23"/>
      <c r="C592" s="23"/>
      <c r="D592" s="24"/>
      <c r="E592" s="24"/>
      <c r="F592" s="24"/>
      <c r="G592" s="24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7"/>
      <c r="AN592" s="25"/>
      <c r="AO592" s="25"/>
      <c r="AP592" s="28"/>
      <c r="AQ592" s="25"/>
      <c r="AR592" s="25"/>
      <c r="AS592" s="28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F592" s="25"/>
      <c r="BG592" s="25"/>
      <c r="BH592" s="25"/>
      <c r="BI592" s="25"/>
      <c r="BJ592" s="24"/>
      <c r="BK592" s="24"/>
      <c r="BL592" s="25"/>
      <c r="BM592" s="25"/>
      <c r="BN592" s="25"/>
    </row>
    <row r="593" spans="1:66" ht="13.5" customHeight="1" x14ac:dyDescent="0.2">
      <c r="A593" s="22"/>
      <c r="B593" s="23"/>
      <c r="C593" s="23"/>
      <c r="D593" s="24"/>
      <c r="E593" s="24"/>
      <c r="F593" s="24"/>
      <c r="G593" s="24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7"/>
      <c r="AN593" s="25"/>
      <c r="AO593" s="25"/>
      <c r="AP593" s="28"/>
      <c r="AQ593" s="25"/>
      <c r="AR593" s="25"/>
      <c r="AS593" s="28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F593" s="25"/>
      <c r="BG593" s="25"/>
      <c r="BH593" s="25"/>
      <c r="BI593" s="25"/>
      <c r="BJ593" s="24"/>
      <c r="BK593" s="24"/>
      <c r="BL593" s="25"/>
      <c r="BM593" s="25"/>
      <c r="BN593" s="25"/>
    </row>
    <row r="594" spans="1:66" ht="13.5" customHeight="1" x14ac:dyDescent="0.2">
      <c r="A594" s="22"/>
      <c r="B594" s="23"/>
      <c r="C594" s="23"/>
      <c r="D594" s="24"/>
      <c r="E594" s="24"/>
      <c r="F594" s="24"/>
      <c r="G594" s="24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7"/>
      <c r="AN594" s="25"/>
      <c r="AO594" s="25"/>
      <c r="AP594" s="28"/>
      <c r="AQ594" s="25"/>
      <c r="AR594" s="25"/>
      <c r="AS594" s="28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F594" s="25"/>
      <c r="BG594" s="25"/>
      <c r="BH594" s="25"/>
      <c r="BI594" s="25"/>
      <c r="BJ594" s="24"/>
      <c r="BK594" s="24"/>
      <c r="BL594" s="25"/>
      <c r="BM594" s="25"/>
      <c r="BN594" s="25"/>
    </row>
    <row r="595" spans="1:66" ht="13.5" customHeight="1" x14ac:dyDescent="0.2">
      <c r="A595" s="22"/>
      <c r="B595" s="23"/>
      <c r="C595" s="23"/>
      <c r="D595" s="24"/>
      <c r="E595" s="24"/>
      <c r="F595" s="24"/>
      <c r="G595" s="24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7"/>
      <c r="AN595" s="25"/>
      <c r="AO595" s="25"/>
      <c r="AP595" s="28"/>
      <c r="AQ595" s="25"/>
      <c r="AR595" s="25"/>
      <c r="AS595" s="28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F595" s="25"/>
      <c r="BG595" s="25"/>
      <c r="BH595" s="25"/>
      <c r="BI595" s="25"/>
      <c r="BJ595" s="24"/>
      <c r="BK595" s="24"/>
      <c r="BL595" s="25"/>
      <c r="BM595" s="25"/>
      <c r="BN595" s="25"/>
    </row>
    <row r="596" spans="1:66" ht="13.5" customHeight="1" x14ac:dyDescent="0.2">
      <c r="A596" s="22"/>
      <c r="B596" s="23"/>
      <c r="C596" s="23"/>
      <c r="D596" s="24"/>
      <c r="E596" s="24"/>
      <c r="F596" s="24"/>
      <c r="G596" s="24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7"/>
      <c r="AN596" s="25"/>
      <c r="AO596" s="25"/>
      <c r="AP596" s="28"/>
      <c r="AQ596" s="25"/>
      <c r="AR596" s="25"/>
      <c r="AS596" s="28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F596" s="25"/>
      <c r="BG596" s="25"/>
      <c r="BH596" s="25"/>
      <c r="BI596" s="25"/>
      <c r="BJ596" s="24"/>
      <c r="BK596" s="24"/>
      <c r="BL596" s="25"/>
      <c r="BM596" s="25"/>
      <c r="BN596" s="25"/>
    </row>
    <row r="597" spans="1:66" ht="13.5" customHeight="1" x14ac:dyDescent="0.2">
      <c r="A597" s="22"/>
      <c r="B597" s="23"/>
      <c r="C597" s="23"/>
      <c r="D597" s="24"/>
      <c r="E597" s="24"/>
      <c r="F597" s="24"/>
      <c r="G597" s="24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7"/>
      <c r="AN597" s="25"/>
      <c r="AO597" s="25"/>
      <c r="AP597" s="28"/>
      <c r="AQ597" s="25"/>
      <c r="AR597" s="25"/>
      <c r="AS597" s="28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F597" s="25"/>
      <c r="BG597" s="25"/>
      <c r="BH597" s="25"/>
      <c r="BI597" s="25"/>
      <c r="BJ597" s="24"/>
      <c r="BK597" s="24"/>
      <c r="BL597" s="25"/>
      <c r="BM597" s="25"/>
      <c r="BN597" s="25"/>
    </row>
    <row r="598" spans="1:66" ht="13.5" customHeight="1" x14ac:dyDescent="0.2">
      <c r="A598" s="22"/>
      <c r="B598" s="23"/>
      <c r="C598" s="23"/>
      <c r="D598" s="24"/>
      <c r="E598" s="24"/>
      <c r="F598" s="24"/>
      <c r="G598" s="24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7"/>
      <c r="AN598" s="25"/>
      <c r="AO598" s="25"/>
      <c r="AP598" s="28"/>
      <c r="AQ598" s="25"/>
      <c r="AR598" s="25"/>
      <c r="AS598" s="28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F598" s="25"/>
      <c r="BG598" s="25"/>
      <c r="BH598" s="25"/>
      <c r="BI598" s="25"/>
      <c r="BJ598" s="24"/>
      <c r="BK598" s="24"/>
      <c r="BL598" s="25"/>
      <c r="BM598" s="25"/>
      <c r="BN598" s="25"/>
    </row>
    <row r="599" spans="1:66" ht="13.5" customHeight="1" x14ac:dyDescent="0.2">
      <c r="A599" s="22"/>
      <c r="B599" s="23"/>
      <c r="C599" s="23"/>
      <c r="D599" s="24"/>
      <c r="E599" s="24"/>
      <c r="F599" s="24"/>
      <c r="G599" s="24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7"/>
      <c r="AN599" s="25"/>
      <c r="AO599" s="25"/>
      <c r="AP599" s="28"/>
      <c r="AQ599" s="25"/>
      <c r="AR599" s="25"/>
      <c r="AS599" s="28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F599" s="25"/>
      <c r="BG599" s="25"/>
      <c r="BH599" s="25"/>
      <c r="BI599" s="25"/>
      <c r="BJ599" s="24"/>
      <c r="BK599" s="24"/>
      <c r="BL599" s="25"/>
      <c r="BM599" s="25"/>
      <c r="BN599" s="25"/>
    </row>
    <row r="600" spans="1:66" ht="13.5" customHeight="1" x14ac:dyDescent="0.2">
      <c r="A600" s="22"/>
      <c r="B600" s="23"/>
      <c r="C600" s="23"/>
      <c r="D600" s="24"/>
      <c r="E600" s="24"/>
      <c r="F600" s="24"/>
      <c r="G600" s="24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7"/>
      <c r="AN600" s="25"/>
      <c r="AO600" s="25"/>
      <c r="AP600" s="28"/>
      <c r="AQ600" s="25"/>
      <c r="AR600" s="25"/>
      <c r="AS600" s="28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F600" s="25"/>
      <c r="BG600" s="25"/>
      <c r="BH600" s="25"/>
      <c r="BI600" s="25"/>
      <c r="BJ600" s="24"/>
      <c r="BK600" s="24"/>
      <c r="BL600" s="25"/>
      <c r="BM600" s="25"/>
      <c r="BN600" s="25"/>
    </row>
    <row r="601" spans="1:66" ht="13.5" customHeight="1" x14ac:dyDescent="0.2">
      <c r="A601" s="22"/>
      <c r="B601" s="23"/>
      <c r="C601" s="23"/>
      <c r="D601" s="24"/>
      <c r="E601" s="24"/>
      <c r="F601" s="24"/>
      <c r="G601" s="24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7"/>
      <c r="AN601" s="25"/>
      <c r="AO601" s="25"/>
      <c r="AP601" s="28"/>
      <c r="AQ601" s="25"/>
      <c r="AR601" s="25"/>
      <c r="AS601" s="28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F601" s="25"/>
      <c r="BG601" s="25"/>
      <c r="BH601" s="25"/>
      <c r="BI601" s="25"/>
      <c r="BJ601" s="24"/>
      <c r="BK601" s="24"/>
      <c r="BL601" s="25"/>
      <c r="BM601" s="25"/>
      <c r="BN601" s="25"/>
    </row>
    <row r="602" spans="1:66" ht="13.5" customHeight="1" x14ac:dyDescent="0.2">
      <c r="A602" s="22"/>
      <c r="B602" s="23"/>
      <c r="C602" s="23"/>
      <c r="D602" s="24"/>
      <c r="E602" s="24"/>
      <c r="F602" s="24"/>
      <c r="G602" s="24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7"/>
      <c r="AN602" s="25"/>
      <c r="AO602" s="25"/>
      <c r="AP602" s="28"/>
      <c r="AQ602" s="25"/>
      <c r="AR602" s="25"/>
      <c r="AS602" s="28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F602" s="25"/>
      <c r="BG602" s="25"/>
      <c r="BH602" s="25"/>
      <c r="BI602" s="25"/>
      <c r="BJ602" s="24"/>
      <c r="BK602" s="24"/>
      <c r="BL602" s="25"/>
      <c r="BM602" s="25"/>
      <c r="BN602" s="25"/>
    </row>
    <row r="603" spans="1:66" ht="13.5" customHeight="1" x14ac:dyDescent="0.2">
      <c r="A603" s="22"/>
      <c r="B603" s="23"/>
      <c r="C603" s="23"/>
      <c r="D603" s="24"/>
      <c r="E603" s="24"/>
      <c r="F603" s="24"/>
      <c r="G603" s="24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7"/>
      <c r="AN603" s="25"/>
      <c r="AO603" s="25"/>
      <c r="AP603" s="28"/>
      <c r="AQ603" s="25"/>
      <c r="AR603" s="25"/>
      <c r="AS603" s="28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F603" s="25"/>
      <c r="BG603" s="25"/>
      <c r="BH603" s="25"/>
      <c r="BI603" s="25"/>
      <c r="BJ603" s="24"/>
      <c r="BK603" s="24"/>
      <c r="BL603" s="25"/>
      <c r="BM603" s="25"/>
      <c r="BN603" s="25"/>
    </row>
    <row r="604" spans="1:66" ht="13.5" customHeight="1" x14ac:dyDescent="0.2">
      <c r="A604" s="22"/>
      <c r="B604" s="23"/>
      <c r="C604" s="23"/>
      <c r="D604" s="24"/>
      <c r="E604" s="24"/>
      <c r="F604" s="24"/>
      <c r="G604" s="24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7"/>
      <c r="AN604" s="25"/>
      <c r="AO604" s="25"/>
      <c r="AP604" s="28"/>
      <c r="AQ604" s="25"/>
      <c r="AR604" s="25"/>
      <c r="AS604" s="28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F604" s="25"/>
      <c r="BG604" s="25"/>
      <c r="BH604" s="25"/>
      <c r="BI604" s="25"/>
      <c r="BJ604" s="24"/>
      <c r="BK604" s="24"/>
      <c r="BL604" s="25"/>
      <c r="BM604" s="25"/>
      <c r="BN604" s="25"/>
    </row>
    <row r="605" spans="1:66" ht="13.5" customHeight="1" x14ac:dyDescent="0.2">
      <c r="A605" s="22"/>
      <c r="B605" s="23"/>
      <c r="C605" s="23"/>
      <c r="D605" s="24"/>
      <c r="E605" s="24"/>
      <c r="F605" s="24"/>
      <c r="G605" s="24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7"/>
      <c r="AN605" s="25"/>
      <c r="AO605" s="25"/>
      <c r="AP605" s="28"/>
      <c r="AQ605" s="25"/>
      <c r="AR605" s="25"/>
      <c r="AS605" s="28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F605" s="25"/>
      <c r="BG605" s="25"/>
      <c r="BH605" s="25"/>
      <c r="BI605" s="25"/>
      <c r="BJ605" s="24"/>
      <c r="BK605" s="24"/>
      <c r="BL605" s="25"/>
      <c r="BM605" s="25"/>
      <c r="BN605" s="25"/>
    </row>
    <row r="606" spans="1:66" ht="13.5" customHeight="1" x14ac:dyDescent="0.2">
      <c r="A606" s="22"/>
      <c r="B606" s="23"/>
      <c r="C606" s="23"/>
      <c r="D606" s="24"/>
      <c r="E606" s="24"/>
      <c r="F606" s="24"/>
      <c r="G606" s="24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7"/>
      <c r="AN606" s="25"/>
      <c r="AO606" s="25"/>
      <c r="AP606" s="28"/>
      <c r="AQ606" s="25"/>
      <c r="AR606" s="25"/>
      <c r="AS606" s="28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F606" s="25"/>
      <c r="BG606" s="25"/>
      <c r="BH606" s="25"/>
      <c r="BI606" s="25"/>
      <c r="BJ606" s="24"/>
      <c r="BK606" s="24"/>
      <c r="BL606" s="25"/>
      <c r="BM606" s="25"/>
      <c r="BN606" s="25"/>
    </row>
    <row r="607" spans="1:66" ht="13.5" customHeight="1" x14ac:dyDescent="0.2">
      <c r="A607" s="22"/>
      <c r="B607" s="23"/>
      <c r="C607" s="23"/>
      <c r="D607" s="24"/>
      <c r="E607" s="24"/>
      <c r="F607" s="24"/>
      <c r="G607" s="24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7"/>
      <c r="AN607" s="25"/>
      <c r="AO607" s="25"/>
      <c r="AP607" s="28"/>
      <c r="AQ607" s="25"/>
      <c r="AR607" s="25"/>
      <c r="AS607" s="28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F607" s="25"/>
      <c r="BG607" s="25"/>
      <c r="BH607" s="25"/>
      <c r="BI607" s="25"/>
      <c r="BJ607" s="24"/>
      <c r="BK607" s="24"/>
      <c r="BL607" s="25"/>
      <c r="BM607" s="25"/>
      <c r="BN607" s="25"/>
    </row>
    <row r="608" spans="1:66" ht="13.5" customHeight="1" x14ac:dyDescent="0.2">
      <c r="A608" s="22"/>
      <c r="B608" s="23"/>
      <c r="C608" s="23"/>
      <c r="D608" s="24"/>
      <c r="E608" s="24"/>
      <c r="F608" s="24"/>
      <c r="G608" s="24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7"/>
      <c r="AN608" s="25"/>
      <c r="AO608" s="25"/>
      <c r="AP608" s="28"/>
      <c r="AQ608" s="25"/>
      <c r="AR608" s="25"/>
      <c r="AS608" s="28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F608" s="25"/>
      <c r="BG608" s="25"/>
      <c r="BH608" s="25"/>
      <c r="BI608" s="25"/>
      <c r="BJ608" s="24"/>
      <c r="BK608" s="24"/>
      <c r="BL608" s="25"/>
      <c r="BM608" s="25"/>
      <c r="BN608" s="25"/>
    </row>
    <row r="609" spans="1:66" ht="13.5" customHeight="1" x14ac:dyDescent="0.2">
      <c r="A609" s="22"/>
      <c r="B609" s="23"/>
      <c r="C609" s="23"/>
      <c r="D609" s="24"/>
      <c r="E609" s="24"/>
      <c r="F609" s="24"/>
      <c r="G609" s="24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7"/>
      <c r="AN609" s="25"/>
      <c r="AO609" s="25"/>
      <c r="AP609" s="28"/>
      <c r="AQ609" s="25"/>
      <c r="AR609" s="25"/>
      <c r="AS609" s="28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F609" s="25"/>
      <c r="BG609" s="25"/>
      <c r="BH609" s="25"/>
      <c r="BI609" s="25"/>
      <c r="BJ609" s="24"/>
      <c r="BK609" s="24"/>
      <c r="BL609" s="25"/>
      <c r="BM609" s="25"/>
      <c r="BN609" s="25"/>
    </row>
    <row r="610" spans="1:66" ht="13.5" customHeight="1" x14ac:dyDescent="0.2">
      <c r="A610" s="22"/>
      <c r="B610" s="23"/>
      <c r="C610" s="23"/>
      <c r="D610" s="24"/>
      <c r="E610" s="24"/>
      <c r="F610" s="24"/>
      <c r="G610" s="24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7"/>
      <c r="AN610" s="25"/>
      <c r="AO610" s="25"/>
      <c r="AP610" s="28"/>
      <c r="AQ610" s="25"/>
      <c r="AR610" s="25"/>
      <c r="AS610" s="28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F610" s="25"/>
      <c r="BG610" s="25"/>
      <c r="BH610" s="25"/>
      <c r="BI610" s="25"/>
      <c r="BJ610" s="24"/>
      <c r="BK610" s="24"/>
      <c r="BL610" s="25"/>
      <c r="BM610" s="25"/>
      <c r="BN610" s="25"/>
    </row>
    <row r="611" spans="1:66" ht="13.5" customHeight="1" x14ac:dyDescent="0.2">
      <c r="A611" s="22"/>
      <c r="B611" s="23"/>
      <c r="C611" s="23"/>
      <c r="D611" s="24"/>
      <c r="E611" s="24"/>
      <c r="F611" s="24"/>
      <c r="G611" s="24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7"/>
      <c r="AN611" s="25"/>
      <c r="AO611" s="25"/>
      <c r="AP611" s="28"/>
      <c r="AQ611" s="25"/>
      <c r="AR611" s="25"/>
      <c r="AS611" s="28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F611" s="25"/>
      <c r="BG611" s="25"/>
      <c r="BH611" s="25"/>
      <c r="BI611" s="25"/>
      <c r="BJ611" s="24"/>
      <c r="BK611" s="24"/>
      <c r="BL611" s="25"/>
      <c r="BM611" s="25"/>
      <c r="BN611" s="25"/>
    </row>
    <row r="612" spans="1:66" ht="13.5" customHeight="1" x14ac:dyDescent="0.2">
      <c r="A612" s="22"/>
      <c r="B612" s="23"/>
      <c r="C612" s="23"/>
      <c r="D612" s="24"/>
      <c r="E612" s="24"/>
      <c r="F612" s="24"/>
      <c r="G612" s="24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7"/>
      <c r="AN612" s="25"/>
      <c r="AO612" s="25"/>
      <c r="AP612" s="28"/>
      <c r="AQ612" s="25"/>
      <c r="AR612" s="25"/>
      <c r="AS612" s="28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F612" s="25"/>
      <c r="BG612" s="25"/>
      <c r="BH612" s="25"/>
      <c r="BI612" s="25"/>
      <c r="BJ612" s="24"/>
      <c r="BK612" s="24"/>
      <c r="BL612" s="25"/>
      <c r="BM612" s="25"/>
      <c r="BN612" s="25"/>
    </row>
    <row r="613" spans="1:66" ht="13.5" customHeight="1" x14ac:dyDescent="0.2">
      <c r="A613" s="22"/>
      <c r="B613" s="23"/>
      <c r="C613" s="23"/>
      <c r="D613" s="24"/>
      <c r="E613" s="24"/>
      <c r="F613" s="24"/>
      <c r="G613" s="24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7"/>
      <c r="AN613" s="25"/>
      <c r="AO613" s="25"/>
      <c r="AP613" s="28"/>
      <c r="AQ613" s="25"/>
      <c r="AR613" s="25"/>
      <c r="AS613" s="28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F613" s="25"/>
      <c r="BG613" s="25"/>
      <c r="BH613" s="25"/>
      <c r="BI613" s="25"/>
      <c r="BJ613" s="24"/>
      <c r="BK613" s="24"/>
      <c r="BL613" s="25"/>
      <c r="BM613" s="25"/>
      <c r="BN613" s="25"/>
    </row>
    <row r="614" spans="1:66" ht="13.5" customHeight="1" x14ac:dyDescent="0.2">
      <c r="A614" s="22"/>
      <c r="B614" s="23"/>
      <c r="C614" s="23"/>
      <c r="D614" s="24"/>
      <c r="E614" s="24"/>
      <c r="F614" s="24"/>
      <c r="G614" s="24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7"/>
      <c r="AN614" s="25"/>
      <c r="AO614" s="25"/>
      <c r="AP614" s="28"/>
      <c r="AQ614" s="25"/>
      <c r="AR614" s="25"/>
      <c r="AS614" s="28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F614" s="25"/>
      <c r="BG614" s="25"/>
      <c r="BH614" s="25"/>
      <c r="BI614" s="25"/>
      <c r="BJ614" s="24"/>
      <c r="BK614" s="24"/>
      <c r="BL614" s="25"/>
      <c r="BM614" s="25"/>
      <c r="BN614" s="25"/>
    </row>
    <row r="615" spans="1:66" ht="13.5" customHeight="1" x14ac:dyDescent="0.2">
      <c r="A615" s="22"/>
      <c r="B615" s="23"/>
      <c r="C615" s="23"/>
      <c r="D615" s="24"/>
      <c r="E615" s="24"/>
      <c r="F615" s="24"/>
      <c r="G615" s="24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7"/>
      <c r="AN615" s="25"/>
      <c r="AO615" s="25"/>
      <c r="AP615" s="28"/>
      <c r="AQ615" s="25"/>
      <c r="AR615" s="25"/>
      <c r="AS615" s="28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F615" s="25"/>
      <c r="BG615" s="25"/>
      <c r="BH615" s="25"/>
      <c r="BI615" s="25"/>
      <c r="BJ615" s="24"/>
      <c r="BK615" s="24"/>
      <c r="BL615" s="25"/>
      <c r="BM615" s="25"/>
      <c r="BN615" s="25"/>
    </row>
    <row r="616" spans="1:66" ht="13.5" customHeight="1" x14ac:dyDescent="0.2">
      <c r="A616" s="22"/>
      <c r="B616" s="23"/>
      <c r="C616" s="23"/>
      <c r="D616" s="24"/>
      <c r="E616" s="24"/>
      <c r="F616" s="24"/>
      <c r="G616" s="24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7"/>
      <c r="AN616" s="25"/>
      <c r="AO616" s="25"/>
      <c r="AP616" s="28"/>
      <c r="AQ616" s="25"/>
      <c r="AR616" s="25"/>
      <c r="AS616" s="28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F616" s="25"/>
      <c r="BG616" s="25"/>
      <c r="BH616" s="25"/>
      <c r="BI616" s="25"/>
      <c r="BJ616" s="24"/>
      <c r="BK616" s="24"/>
      <c r="BL616" s="25"/>
      <c r="BM616" s="25"/>
      <c r="BN616" s="25"/>
    </row>
    <row r="617" spans="1:66" ht="13.5" customHeight="1" x14ac:dyDescent="0.2">
      <c r="A617" s="22"/>
      <c r="B617" s="23"/>
      <c r="C617" s="23"/>
      <c r="D617" s="24"/>
      <c r="E617" s="24"/>
      <c r="F617" s="24"/>
      <c r="G617" s="24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7"/>
      <c r="AN617" s="25"/>
      <c r="AO617" s="25"/>
      <c r="AP617" s="28"/>
      <c r="AQ617" s="25"/>
      <c r="AR617" s="25"/>
      <c r="AS617" s="28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F617" s="25"/>
      <c r="BG617" s="25"/>
      <c r="BH617" s="25"/>
      <c r="BI617" s="25"/>
      <c r="BJ617" s="24"/>
      <c r="BK617" s="24"/>
      <c r="BL617" s="25"/>
      <c r="BM617" s="25"/>
      <c r="BN617" s="25"/>
    </row>
    <row r="618" spans="1:66" ht="13.5" customHeight="1" x14ac:dyDescent="0.2">
      <c r="A618" s="22"/>
      <c r="B618" s="23"/>
      <c r="C618" s="23"/>
      <c r="D618" s="24"/>
      <c r="E618" s="24"/>
      <c r="F618" s="24"/>
      <c r="G618" s="24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7"/>
      <c r="AN618" s="25"/>
      <c r="AO618" s="25"/>
      <c r="AP618" s="28"/>
      <c r="AQ618" s="25"/>
      <c r="AR618" s="25"/>
      <c r="AS618" s="28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F618" s="25"/>
      <c r="BG618" s="25"/>
      <c r="BH618" s="25"/>
      <c r="BI618" s="25"/>
      <c r="BJ618" s="24"/>
      <c r="BK618" s="24"/>
      <c r="BL618" s="25"/>
      <c r="BM618" s="25"/>
      <c r="BN618" s="25"/>
    </row>
    <row r="619" spans="1:66" ht="13.5" customHeight="1" x14ac:dyDescent="0.2">
      <c r="A619" s="22"/>
      <c r="B619" s="23"/>
      <c r="C619" s="23"/>
      <c r="D619" s="24"/>
      <c r="E619" s="24"/>
      <c r="F619" s="24"/>
      <c r="G619" s="24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7"/>
      <c r="AN619" s="25"/>
      <c r="AO619" s="25"/>
      <c r="AP619" s="28"/>
      <c r="AQ619" s="25"/>
      <c r="AR619" s="25"/>
      <c r="AS619" s="28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F619" s="25"/>
      <c r="BG619" s="25"/>
      <c r="BH619" s="25"/>
      <c r="BI619" s="25"/>
      <c r="BJ619" s="24"/>
      <c r="BK619" s="24"/>
      <c r="BL619" s="25"/>
      <c r="BM619" s="25"/>
      <c r="BN619" s="25"/>
    </row>
    <row r="620" spans="1:66" ht="13.5" customHeight="1" x14ac:dyDescent="0.2">
      <c r="A620" s="22"/>
      <c r="B620" s="23"/>
      <c r="C620" s="23"/>
      <c r="D620" s="24"/>
      <c r="E620" s="24"/>
      <c r="F620" s="24"/>
      <c r="G620" s="24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7"/>
      <c r="AN620" s="25"/>
      <c r="AO620" s="25"/>
      <c r="AP620" s="28"/>
      <c r="AQ620" s="25"/>
      <c r="AR620" s="25"/>
      <c r="AS620" s="28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F620" s="25"/>
      <c r="BG620" s="25"/>
      <c r="BH620" s="25"/>
      <c r="BI620" s="25"/>
      <c r="BJ620" s="24"/>
      <c r="BK620" s="24"/>
      <c r="BL620" s="25"/>
      <c r="BM620" s="25"/>
      <c r="BN620" s="25"/>
    </row>
    <row r="621" spans="1:66" ht="13.5" customHeight="1" x14ac:dyDescent="0.2">
      <c r="A621" s="22"/>
      <c r="B621" s="23"/>
      <c r="C621" s="23"/>
      <c r="D621" s="24"/>
      <c r="E621" s="24"/>
      <c r="F621" s="24"/>
      <c r="G621" s="24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7"/>
      <c r="AN621" s="25"/>
      <c r="AO621" s="25"/>
      <c r="AP621" s="28"/>
      <c r="AQ621" s="25"/>
      <c r="AR621" s="25"/>
      <c r="AS621" s="28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F621" s="25"/>
      <c r="BG621" s="25"/>
      <c r="BH621" s="25"/>
      <c r="BI621" s="25"/>
      <c r="BJ621" s="24"/>
      <c r="BK621" s="24"/>
      <c r="BL621" s="25"/>
      <c r="BM621" s="25"/>
      <c r="BN621" s="25"/>
    </row>
    <row r="622" spans="1:66" ht="13.5" customHeight="1" x14ac:dyDescent="0.2">
      <c r="A622" s="22"/>
      <c r="B622" s="23"/>
      <c r="C622" s="23"/>
      <c r="D622" s="24"/>
      <c r="E622" s="24"/>
      <c r="F622" s="24"/>
      <c r="G622" s="24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7"/>
      <c r="AN622" s="25"/>
      <c r="AO622" s="25"/>
      <c r="AP622" s="28"/>
      <c r="AQ622" s="25"/>
      <c r="AR622" s="25"/>
      <c r="AS622" s="28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F622" s="25"/>
      <c r="BG622" s="25"/>
      <c r="BH622" s="25"/>
      <c r="BI622" s="25"/>
      <c r="BJ622" s="24"/>
      <c r="BK622" s="24"/>
      <c r="BL622" s="25"/>
      <c r="BM622" s="25"/>
      <c r="BN622" s="25"/>
    </row>
    <row r="623" spans="1:66" ht="13.5" customHeight="1" x14ac:dyDescent="0.2">
      <c r="A623" s="22"/>
      <c r="B623" s="23"/>
      <c r="C623" s="23"/>
      <c r="D623" s="24"/>
      <c r="E623" s="24"/>
      <c r="F623" s="24"/>
      <c r="G623" s="24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7"/>
      <c r="AN623" s="25"/>
      <c r="AO623" s="25"/>
      <c r="AP623" s="28"/>
      <c r="AQ623" s="25"/>
      <c r="AR623" s="25"/>
      <c r="AS623" s="28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F623" s="25"/>
      <c r="BG623" s="25"/>
      <c r="BH623" s="25"/>
      <c r="BI623" s="25"/>
      <c r="BJ623" s="24"/>
      <c r="BK623" s="24"/>
      <c r="BL623" s="25"/>
      <c r="BM623" s="25"/>
      <c r="BN623" s="25"/>
    </row>
    <row r="624" spans="1:66" ht="13.5" customHeight="1" x14ac:dyDescent="0.2">
      <c r="A624" s="22"/>
      <c r="B624" s="23"/>
      <c r="C624" s="23"/>
      <c r="D624" s="24"/>
      <c r="E624" s="24"/>
      <c r="F624" s="24"/>
      <c r="G624" s="24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7"/>
      <c r="AN624" s="25"/>
      <c r="AO624" s="25"/>
      <c r="AP624" s="28"/>
      <c r="AQ624" s="25"/>
      <c r="AR624" s="25"/>
      <c r="AS624" s="28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F624" s="25"/>
      <c r="BG624" s="25"/>
      <c r="BH624" s="25"/>
      <c r="BI624" s="25"/>
      <c r="BJ624" s="24"/>
      <c r="BK624" s="24"/>
      <c r="BL624" s="25"/>
      <c r="BM624" s="25"/>
      <c r="BN624" s="25"/>
    </row>
    <row r="625" spans="1:66" ht="13.5" customHeight="1" x14ac:dyDescent="0.2">
      <c r="A625" s="22"/>
      <c r="B625" s="23"/>
      <c r="C625" s="23"/>
      <c r="D625" s="24"/>
      <c r="E625" s="24"/>
      <c r="F625" s="24"/>
      <c r="G625" s="24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7"/>
      <c r="AN625" s="25"/>
      <c r="AO625" s="25"/>
      <c r="AP625" s="28"/>
      <c r="AQ625" s="25"/>
      <c r="AR625" s="25"/>
      <c r="AS625" s="28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F625" s="25"/>
      <c r="BG625" s="25"/>
      <c r="BH625" s="25"/>
      <c r="BI625" s="25"/>
      <c r="BJ625" s="24"/>
      <c r="BK625" s="24"/>
      <c r="BL625" s="25"/>
      <c r="BM625" s="25"/>
      <c r="BN625" s="25"/>
    </row>
    <row r="626" spans="1:66" ht="13.5" customHeight="1" x14ac:dyDescent="0.2">
      <c r="A626" s="22"/>
      <c r="B626" s="23"/>
      <c r="C626" s="23"/>
      <c r="D626" s="24"/>
      <c r="E626" s="24"/>
      <c r="F626" s="24"/>
      <c r="G626" s="24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7"/>
      <c r="AN626" s="25"/>
      <c r="AO626" s="25"/>
      <c r="AP626" s="28"/>
      <c r="AQ626" s="25"/>
      <c r="AR626" s="25"/>
      <c r="AS626" s="28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F626" s="25"/>
      <c r="BG626" s="25"/>
      <c r="BH626" s="25"/>
      <c r="BI626" s="25"/>
      <c r="BJ626" s="24"/>
      <c r="BK626" s="24"/>
      <c r="BL626" s="25"/>
      <c r="BM626" s="25"/>
      <c r="BN626" s="25"/>
    </row>
    <row r="627" spans="1:66" ht="13.5" customHeight="1" x14ac:dyDescent="0.2">
      <c r="A627" s="22"/>
      <c r="B627" s="23"/>
      <c r="C627" s="23"/>
      <c r="D627" s="24"/>
      <c r="E627" s="24"/>
      <c r="F627" s="24"/>
      <c r="G627" s="24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7"/>
      <c r="AN627" s="25"/>
      <c r="AO627" s="25"/>
      <c r="AP627" s="28"/>
      <c r="AQ627" s="25"/>
      <c r="AR627" s="25"/>
      <c r="AS627" s="28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F627" s="25"/>
      <c r="BG627" s="25"/>
      <c r="BH627" s="25"/>
      <c r="BI627" s="25"/>
      <c r="BJ627" s="24"/>
      <c r="BK627" s="24"/>
      <c r="BL627" s="25"/>
      <c r="BM627" s="25"/>
      <c r="BN627" s="25"/>
    </row>
    <row r="628" spans="1:66" ht="13.5" customHeight="1" x14ac:dyDescent="0.2">
      <c r="A628" s="22"/>
      <c r="B628" s="23"/>
      <c r="C628" s="23"/>
      <c r="D628" s="24"/>
      <c r="E628" s="24"/>
      <c r="F628" s="24"/>
      <c r="G628" s="24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7"/>
      <c r="AN628" s="25"/>
      <c r="AO628" s="25"/>
      <c r="AP628" s="28"/>
      <c r="AQ628" s="25"/>
      <c r="AR628" s="25"/>
      <c r="AS628" s="28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F628" s="25"/>
      <c r="BG628" s="25"/>
      <c r="BH628" s="25"/>
      <c r="BI628" s="25"/>
      <c r="BJ628" s="24"/>
      <c r="BK628" s="24"/>
      <c r="BL628" s="25"/>
      <c r="BM628" s="25"/>
      <c r="BN628" s="25"/>
    </row>
    <row r="629" spans="1:66" ht="13.5" customHeight="1" x14ac:dyDescent="0.2">
      <c r="A629" s="22"/>
      <c r="B629" s="23"/>
      <c r="C629" s="23"/>
      <c r="D629" s="24"/>
      <c r="E629" s="24"/>
      <c r="F629" s="24"/>
      <c r="G629" s="24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7"/>
      <c r="AN629" s="25"/>
      <c r="AO629" s="25"/>
      <c r="AP629" s="28"/>
      <c r="AQ629" s="25"/>
      <c r="AR629" s="25"/>
      <c r="AS629" s="28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F629" s="25"/>
      <c r="BG629" s="25"/>
      <c r="BH629" s="25"/>
      <c r="BI629" s="25"/>
      <c r="BJ629" s="24"/>
      <c r="BK629" s="24"/>
      <c r="BL629" s="25"/>
      <c r="BM629" s="25"/>
      <c r="BN629" s="25"/>
    </row>
    <row r="630" spans="1:66" ht="13.5" customHeight="1" x14ac:dyDescent="0.2">
      <c r="A630" s="22"/>
      <c r="B630" s="23"/>
      <c r="C630" s="23"/>
      <c r="D630" s="24"/>
      <c r="E630" s="24"/>
      <c r="F630" s="24"/>
      <c r="G630" s="24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7"/>
      <c r="AN630" s="25"/>
      <c r="AO630" s="25"/>
      <c r="AP630" s="28"/>
      <c r="AQ630" s="25"/>
      <c r="AR630" s="25"/>
      <c r="AS630" s="28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F630" s="25"/>
      <c r="BG630" s="25"/>
      <c r="BH630" s="25"/>
      <c r="BI630" s="25"/>
      <c r="BJ630" s="24"/>
      <c r="BK630" s="24"/>
      <c r="BL630" s="25"/>
      <c r="BM630" s="25"/>
      <c r="BN630" s="25"/>
    </row>
    <row r="631" spans="1:66" ht="13.5" customHeight="1" x14ac:dyDescent="0.2">
      <c r="A631" s="22"/>
      <c r="B631" s="23"/>
      <c r="C631" s="23"/>
      <c r="D631" s="24"/>
      <c r="E631" s="24"/>
      <c r="F631" s="24"/>
      <c r="G631" s="24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7"/>
      <c r="AN631" s="25"/>
      <c r="AO631" s="25"/>
      <c r="AP631" s="28"/>
      <c r="AQ631" s="25"/>
      <c r="AR631" s="25"/>
      <c r="AS631" s="28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F631" s="25"/>
      <c r="BG631" s="25"/>
      <c r="BH631" s="25"/>
      <c r="BI631" s="25"/>
      <c r="BJ631" s="24"/>
      <c r="BK631" s="24"/>
      <c r="BL631" s="25"/>
      <c r="BM631" s="25"/>
      <c r="BN631" s="25"/>
    </row>
    <row r="632" spans="1:66" ht="13.5" customHeight="1" x14ac:dyDescent="0.2">
      <c r="A632" s="22"/>
      <c r="B632" s="23"/>
      <c r="C632" s="23"/>
      <c r="D632" s="24"/>
      <c r="E632" s="24"/>
      <c r="F632" s="24"/>
      <c r="G632" s="24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7"/>
      <c r="AN632" s="25"/>
      <c r="AO632" s="25"/>
      <c r="AP632" s="28"/>
      <c r="AQ632" s="25"/>
      <c r="AR632" s="25"/>
      <c r="AS632" s="28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F632" s="25"/>
      <c r="BG632" s="25"/>
      <c r="BH632" s="25"/>
      <c r="BI632" s="25"/>
      <c r="BJ632" s="24"/>
      <c r="BK632" s="24"/>
      <c r="BL632" s="25"/>
      <c r="BM632" s="25"/>
      <c r="BN632" s="25"/>
    </row>
    <row r="633" spans="1:66" ht="13.5" customHeight="1" x14ac:dyDescent="0.2">
      <c r="A633" s="22"/>
      <c r="B633" s="23"/>
      <c r="C633" s="23"/>
      <c r="D633" s="24"/>
      <c r="E633" s="24"/>
      <c r="F633" s="24"/>
      <c r="G633" s="24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7"/>
      <c r="AN633" s="25"/>
      <c r="AO633" s="25"/>
      <c r="AP633" s="28"/>
      <c r="AQ633" s="25"/>
      <c r="AR633" s="25"/>
      <c r="AS633" s="28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F633" s="25"/>
      <c r="BG633" s="25"/>
      <c r="BH633" s="25"/>
      <c r="BI633" s="25"/>
      <c r="BJ633" s="24"/>
      <c r="BK633" s="24"/>
      <c r="BL633" s="25"/>
      <c r="BM633" s="25"/>
      <c r="BN633" s="25"/>
    </row>
    <row r="634" spans="1:66" ht="13.5" customHeight="1" x14ac:dyDescent="0.2">
      <c r="A634" s="22"/>
      <c r="B634" s="23"/>
      <c r="C634" s="23"/>
      <c r="D634" s="24"/>
      <c r="E634" s="24"/>
      <c r="F634" s="24"/>
      <c r="G634" s="24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7"/>
      <c r="AN634" s="25"/>
      <c r="AO634" s="25"/>
      <c r="AP634" s="28"/>
      <c r="AQ634" s="25"/>
      <c r="AR634" s="25"/>
      <c r="AS634" s="28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F634" s="25"/>
      <c r="BG634" s="25"/>
      <c r="BH634" s="25"/>
      <c r="BI634" s="25"/>
      <c r="BJ634" s="24"/>
      <c r="BK634" s="24"/>
      <c r="BL634" s="25"/>
      <c r="BM634" s="25"/>
      <c r="BN634" s="25"/>
    </row>
    <row r="635" spans="1:66" ht="13.5" customHeight="1" x14ac:dyDescent="0.2">
      <c r="A635" s="22"/>
      <c r="B635" s="23"/>
      <c r="C635" s="23"/>
      <c r="D635" s="24"/>
      <c r="E635" s="24"/>
      <c r="F635" s="24"/>
      <c r="G635" s="24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7"/>
      <c r="AN635" s="25"/>
      <c r="AO635" s="25"/>
      <c r="AP635" s="28"/>
      <c r="AQ635" s="25"/>
      <c r="AR635" s="25"/>
      <c r="AS635" s="28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F635" s="25"/>
      <c r="BG635" s="25"/>
      <c r="BH635" s="25"/>
      <c r="BI635" s="25"/>
      <c r="BJ635" s="24"/>
      <c r="BK635" s="24"/>
      <c r="BL635" s="25"/>
      <c r="BM635" s="25"/>
      <c r="BN635" s="25"/>
    </row>
    <row r="636" spans="1:66" ht="13.5" customHeight="1" x14ac:dyDescent="0.2">
      <c r="A636" s="22"/>
      <c r="B636" s="23"/>
      <c r="C636" s="23"/>
      <c r="D636" s="24"/>
      <c r="E636" s="24"/>
      <c r="F636" s="24"/>
      <c r="G636" s="24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7"/>
      <c r="AN636" s="25"/>
      <c r="AO636" s="25"/>
      <c r="AP636" s="28"/>
      <c r="AQ636" s="25"/>
      <c r="AR636" s="25"/>
      <c r="AS636" s="28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F636" s="25"/>
      <c r="BG636" s="25"/>
      <c r="BH636" s="25"/>
      <c r="BI636" s="25"/>
      <c r="BJ636" s="24"/>
      <c r="BK636" s="24"/>
      <c r="BL636" s="25"/>
      <c r="BM636" s="25"/>
      <c r="BN636" s="25"/>
    </row>
    <row r="637" spans="1:66" ht="13.5" customHeight="1" x14ac:dyDescent="0.2">
      <c r="A637" s="22"/>
      <c r="B637" s="23"/>
      <c r="C637" s="23"/>
      <c r="D637" s="24"/>
      <c r="E637" s="24"/>
      <c r="F637" s="24"/>
      <c r="G637" s="24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7"/>
      <c r="AN637" s="25"/>
      <c r="AO637" s="25"/>
      <c r="AP637" s="28"/>
      <c r="AQ637" s="25"/>
      <c r="AR637" s="25"/>
      <c r="AS637" s="28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F637" s="25"/>
      <c r="BG637" s="25"/>
      <c r="BH637" s="25"/>
      <c r="BI637" s="25"/>
      <c r="BJ637" s="24"/>
      <c r="BK637" s="24"/>
      <c r="BL637" s="25"/>
      <c r="BM637" s="25"/>
      <c r="BN637" s="25"/>
    </row>
    <row r="638" spans="1:66" ht="13.5" customHeight="1" x14ac:dyDescent="0.2">
      <c r="A638" s="22"/>
      <c r="B638" s="23"/>
      <c r="C638" s="23"/>
      <c r="D638" s="24"/>
      <c r="E638" s="24"/>
      <c r="F638" s="24"/>
      <c r="G638" s="24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7"/>
      <c r="AN638" s="25"/>
      <c r="AO638" s="25"/>
      <c r="AP638" s="28"/>
      <c r="AQ638" s="25"/>
      <c r="AR638" s="25"/>
      <c r="AS638" s="28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F638" s="25"/>
      <c r="BG638" s="25"/>
      <c r="BH638" s="25"/>
      <c r="BI638" s="25"/>
      <c r="BJ638" s="24"/>
      <c r="BK638" s="24"/>
      <c r="BL638" s="25"/>
      <c r="BM638" s="25"/>
      <c r="BN638" s="25"/>
    </row>
    <row r="639" spans="1:66" ht="13.5" customHeight="1" x14ac:dyDescent="0.2">
      <c r="A639" s="22"/>
      <c r="B639" s="23"/>
      <c r="C639" s="23"/>
      <c r="D639" s="24"/>
      <c r="E639" s="24"/>
      <c r="F639" s="24"/>
      <c r="G639" s="24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7"/>
      <c r="AN639" s="25"/>
      <c r="AO639" s="25"/>
      <c r="AP639" s="28"/>
      <c r="AQ639" s="25"/>
      <c r="AR639" s="25"/>
      <c r="AS639" s="28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F639" s="25"/>
      <c r="BG639" s="25"/>
      <c r="BH639" s="25"/>
      <c r="BI639" s="25"/>
      <c r="BJ639" s="24"/>
      <c r="BK639" s="24"/>
      <c r="BL639" s="25"/>
      <c r="BM639" s="25"/>
      <c r="BN639" s="25"/>
    </row>
    <row r="640" spans="1:66" ht="13.5" customHeight="1" x14ac:dyDescent="0.2">
      <c r="A640" s="22"/>
      <c r="B640" s="23"/>
      <c r="C640" s="23"/>
      <c r="D640" s="24"/>
      <c r="E640" s="24"/>
      <c r="F640" s="24"/>
      <c r="G640" s="24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7"/>
      <c r="AN640" s="25"/>
      <c r="AO640" s="25"/>
      <c r="AP640" s="28"/>
      <c r="AQ640" s="25"/>
      <c r="AR640" s="25"/>
      <c r="AS640" s="28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F640" s="25"/>
      <c r="BG640" s="25"/>
      <c r="BH640" s="25"/>
      <c r="BI640" s="25"/>
      <c r="BJ640" s="24"/>
      <c r="BK640" s="24"/>
      <c r="BL640" s="25"/>
      <c r="BM640" s="25"/>
      <c r="BN640" s="25"/>
    </row>
    <row r="641" spans="1:66" ht="13.5" customHeight="1" x14ac:dyDescent="0.2">
      <c r="A641" s="22"/>
      <c r="B641" s="23"/>
      <c r="C641" s="23"/>
      <c r="D641" s="24"/>
      <c r="E641" s="24"/>
      <c r="F641" s="24"/>
      <c r="G641" s="24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7"/>
      <c r="AN641" s="25"/>
      <c r="AO641" s="25"/>
      <c r="AP641" s="28"/>
      <c r="AQ641" s="25"/>
      <c r="AR641" s="25"/>
      <c r="AS641" s="28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F641" s="25"/>
      <c r="BG641" s="25"/>
      <c r="BH641" s="25"/>
      <c r="BI641" s="25"/>
      <c r="BJ641" s="24"/>
      <c r="BK641" s="24"/>
      <c r="BL641" s="25"/>
      <c r="BM641" s="25"/>
      <c r="BN641" s="25"/>
    </row>
    <row r="642" spans="1:66" ht="13.5" customHeight="1" x14ac:dyDescent="0.2">
      <c r="A642" s="22"/>
      <c r="B642" s="23"/>
      <c r="C642" s="23"/>
      <c r="D642" s="24"/>
      <c r="E642" s="24"/>
      <c r="F642" s="24"/>
      <c r="G642" s="24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7"/>
      <c r="AN642" s="25"/>
      <c r="AO642" s="25"/>
      <c r="AP642" s="28"/>
      <c r="AQ642" s="25"/>
      <c r="AR642" s="25"/>
      <c r="AS642" s="28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F642" s="25"/>
      <c r="BG642" s="25"/>
      <c r="BH642" s="25"/>
      <c r="BI642" s="25"/>
      <c r="BJ642" s="24"/>
      <c r="BK642" s="24"/>
      <c r="BL642" s="25"/>
      <c r="BM642" s="25"/>
      <c r="BN642" s="25"/>
    </row>
    <row r="643" spans="1:66" ht="13.5" customHeight="1" x14ac:dyDescent="0.2">
      <c r="A643" s="22"/>
      <c r="B643" s="23"/>
      <c r="C643" s="23"/>
      <c r="D643" s="24"/>
      <c r="E643" s="24"/>
      <c r="F643" s="24"/>
      <c r="G643" s="24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7"/>
      <c r="AN643" s="25"/>
      <c r="AO643" s="25"/>
      <c r="AP643" s="28"/>
      <c r="AQ643" s="25"/>
      <c r="AR643" s="25"/>
      <c r="AS643" s="28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F643" s="25"/>
      <c r="BG643" s="25"/>
      <c r="BH643" s="25"/>
      <c r="BI643" s="25"/>
      <c r="BJ643" s="24"/>
      <c r="BK643" s="24"/>
      <c r="BL643" s="25"/>
      <c r="BM643" s="25"/>
      <c r="BN643" s="25"/>
    </row>
    <row r="644" spans="1:66" ht="13.5" customHeight="1" x14ac:dyDescent="0.2">
      <c r="A644" s="22"/>
      <c r="B644" s="23"/>
      <c r="C644" s="23"/>
      <c r="D644" s="24"/>
      <c r="E644" s="24"/>
      <c r="F644" s="24"/>
      <c r="G644" s="24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7"/>
      <c r="AN644" s="25"/>
      <c r="AO644" s="25"/>
      <c r="AP644" s="28"/>
      <c r="AQ644" s="25"/>
      <c r="AR644" s="25"/>
      <c r="AS644" s="28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F644" s="25"/>
      <c r="BG644" s="25"/>
      <c r="BH644" s="25"/>
      <c r="BI644" s="25"/>
      <c r="BJ644" s="24"/>
      <c r="BK644" s="24"/>
      <c r="BL644" s="25"/>
      <c r="BM644" s="25"/>
      <c r="BN644" s="25"/>
    </row>
    <row r="645" spans="1:66" ht="13.5" customHeight="1" x14ac:dyDescent="0.2">
      <c r="A645" s="22"/>
      <c r="B645" s="23"/>
      <c r="C645" s="23"/>
      <c r="D645" s="24"/>
      <c r="E645" s="24"/>
      <c r="F645" s="24"/>
      <c r="G645" s="24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7"/>
      <c r="AN645" s="25"/>
      <c r="AO645" s="25"/>
      <c r="AP645" s="28"/>
      <c r="AQ645" s="25"/>
      <c r="AR645" s="25"/>
      <c r="AS645" s="28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F645" s="25"/>
      <c r="BG645" s="25"/>
      <c r="BH645" s="25"/>
      <c r="BI645" s="25"/>
      <c r="BJ645" s="24"/>
      <c r="BK645" s="24"/>
      <c r="BL645" s="25"/>
      <c r="BM645" s="25"/>
      <c r="BN645" s="25"/>
    </row>
    <row r="646" spans="1:66" ht="13.5" customHeight="1" x14ac:dyDescent="0.2">
      <c r="A646" s="22"/>
      <c r="B646" s="23"/>
      <c r="C646" s="23"/>
      <c r="D646" s="24"/>
      <c r="E646" s="24"/>
      <c r="F646" s="24"/>
      <c r="G646" s="24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7"/>
      <c r="AN646" s="25"/>
      <c r="AO646" s="25"/>
      <c r="AP646" s="28"/>
      <c r="AQ646" s="25"/>
      <c r="AR646" s="25"/>
      <c r="AS646" s="28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F646" s="25"/>
      <c r="BG646" s="25"/>
      <c r="BH646" s="25"/>
      <c r="BI646" s="25"/>
      <c r="BJ646" s="24"/>
      <c r="BK646" s="24"/>
      <c r="BL646" s="25"/>
      <c r="BM646" s="25"/>
      <c r="BN646" s="25"/>
    </row>
    <row r="647" spans="1:66" ht="13.5" customHeight="1" x14ac:dyDescent="0.2">
      <c r="A647" s="22"/>
      <c r="B647" s="23"/>
      <c r="C647" s="23"/>
      <c r="D647" s="24"/>
      <c r="E647" s="24"/>
      <c r="F647" s="24"/>
      <c r="G647" s="24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7"/>
      <c r="AN647" s="25"/>
      <c r="AO647" s="25"/>
      <c r="AP647" s="28"/>
      <c r="AQ647" s="25"/>
      <c r="AR647" s="25"/>
      <c r="AS647" s="28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F647" s="25"/>
      <c r="BG647" s="25"/>
      <c r="BH647" s="25"/>
      <c r="BI647" s="25"/>
      <c r="BJ647" s="24"/>
      <c r="BK647" s="24"/>
      <c r="BL647" s="25"/>
      <c r="BM647" s="25"/>
      <c r="BN647" s="25"/>
    </row>
    <row r="648" spans="1:66" ht="13.5" customHeight="1" x14ac:dyDescent="0.2">
      <c r="A648" s="22"/>
      <c r="B648" s="23"/>
      <c r="C648" s="23"/>
      <c r="D648" s="24"/>
      <c r="E648" s="24"/>
      <c r="F648" s="24"/>
      <c r="G648" s="24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7"/>
      <c r="AN648" s="25"/>
      <c r="AO648" s="25"/>
      <c r="AP648" s="28"/>
      <c r="AQ648" s="25"/>
      <c r="AR648" s="25"/>
      <c r="AS648" s="28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F648" s="25"/>
      <c r="BG648" s="25"/>
      <c r="BH648" s="25"/>
      <c r="BI648" s="25"/>
      <c r="BJ648" s="24"/>
      <c r="BK648" s="24"/>
      <c r="BL648" s="25"/>
      <c r="BM648" s="25"/>
      <c r="BN648" s="25"/>
    </row>
    <row r="649" spans="1:66" ht="13.5" customHeight="1" x14ac:dyDescent="0.2">
      <c r="A649" s="22"/>
      <c r="B649" s="23"/>
      <c r="C649" s="23"/>
      <c r="D649" s="24"/>
      <c r="E649" s="24"/>
      <c r="F649" s="24"/>
      <c r="G649" s="24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7"/>
      <c r="AN649" s="25"/>
      <c r="AO649" s="25"/>
      <c r="AP649" s="28"/>
      <c r="AQ649" s="25"/>
      <c r="AR649" s="25"/>
      <c r="AS649" s="28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F649" s="25"/>
      <c r="BG649" s="25"/>
      <c r="BH649" s="25"/>
      <c r="BI649" s="25"/>
      <c r="BJ649" s="24"/>
      <c r="BK649" s="24"/>
      <c r="BL649" s="25"/>
      <c r="BM649" s="25"/>
      <c r="BN649" s="25"/>
    </row>
    <row r="650" spans="1:66" ht="13.5" customHeight="1" x14ac:dyDescent="0.2">
      <c r="A650" s="22"/>
      <c r="B650" s="23"/>
      <c r="C650" s="23"/>
      <c r="D650" s="24"/>
      <c r="E650" s="24"/>
      <c r="F650" s="24"/>
      <c r="G650" s="24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7"/>
      <c r="AN650" s="25"/>
      <c r="AO650" s="25"/>
      <c r="AP650" s="28"/>
      <c r="AQ650" s="25"/>
      <c r="AR650" s="25"/>
      <c r="AS650" s="28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F650" s="25"/>
      <c r="BG650" s="25"/>
      <c r="BH650" s="25"/>
      <c r="BI650" s="25"/>
      <c r="BJ650" s="24"/>
      <c r="BK650" s="24"/>
      <c r="BL650" s="25"/>
      <c r="BM650" s="25"/>
      <c r="BN650" s="25"/>
    </row>
    <row r="651" spans="1:66" ht="13.5" customHeight="1" x14ac:dyDescent="0.2">
      <c r="A651" s="22"/>
      <c r="B651" s="23"/>
      <c r="C651" s="23"/>
      <c r="D651" s="24"/>
      <c r="E651" s="24"/>
      <c r="F651" s="24"/>
      <c r="G651" s="24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7"/>
      <c r="AN651" s="25"/>
      <c r="AO651" s="25"/>
      <c r="AP651" s="28"/>
      <c r="AQ651" s="25"/>
      <c r="AR651" s="25"/>
      <c r="AS651" s="28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F651" s="25"/>
      <c r="BG651" s="25"/>
      <c r="BH651" s="25"/>
      <c r="BI651" s="25"/>
      <c r="BJ651" s="24"/>
      <c r="BK651" s="24"/>
      <c r="BL651" s="25"/>
      <c r="BM651" s="25"/>
      <c r="BN651" s="25"/>
    </row>
    <row r="652" spans="1:66" ht="13.5" customHeight="1" x14ac:dyDescent="0.2">
      <c r="A652" s="22"/>
      <c r="B652" s="23"/>
      <c r="C652" s="23"/>
      <c r="D652" s="24"/>
      <c r="E652" s="24"/>
      <c r="F652" s="24"/>
      <c r="G652" s="24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7"/>
      <c r="AN652" s="25"/>
      <c r="AO652" s="25"/>
      <c r="AP652" s="28"/>
      <c r="AQ652" s="25"/>
      <c r="AR652" s="25"/>
      <c r="AS652" s="28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F652" s="25"/>
      <c r="BG652" s="25"/>
      <c r="BH652" s="25"/>
      <c r="BI652" s="25"/>
      <c r="BJ652" s="24"/>
      <c r="BK652" s="24"/>
      <c r="BL652" s="25"/>
      <c r="BM652" s="25"/>
      <c r="BN652" s="25"/>
    </row>
    <row r="653" spans="1:66" ht="13.5" customHeight="1" x14ac:dyDescent="0.2">
      <c r="A653" s="22"/>
      <c r="B653" s="23"/>
      <c r="C653" s="23"/>
      <c r="D653" s="24"/>
      <c r="E653" s="24"/>
      <c r="F653" s="24"/>
      <c r="G653" s="24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7"/>
      <c r="AN653" s="25"/>
      <c r="AO653" s="25"/>
      <c r="AP653" s="28"/>
      <c r="AQ653" s="25"/>
      <c r="AR653" s="25"/>
      <c r="AS653" s="28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F653" s="25"/>
      <c r="BG653" s="25"/>
      <c r="BH653" s="25"/>
      <c r="BI653" s="25"/>
      <c r="BJ653" s="24"/>
      <c r="BK653" s="24"/>
      <c r="BL653" s="25"/>
      <c r="BM653" s="25"/>
      <c r="BN653" s="25"/>
    </row>
    <row r="654" spans="1:66" ht="13.5" customHeight="1" x14ac:dyDescent="0.2">
      <c r="A654" s="22"/>
      <c r="B654" s="23"/>
      <c r="C654" s="23"/>
      <c r="D654" s="24"/>
      <c r="E654" s="24"/>
      <c r="F654" s="24"/>
      <c r="G654" s="24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7"/>
      <c r="AN654" s="25"/>
      <c r="AO654" s="25"/>
      <c r="AP654" s="28"/>
      <c r="AQ654" s="25"/>
      <c r="AR654" s="25"/>
      <c r="AS654" s="28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F654" s="25"/>
      <c r="BG654" s="25"/>
      <c r="BH654" s="25"/>
      <c r="BI654" s="25"/>
      <c r="BJ654" s="24"/>
      <c r="BK654" s="24"/>
      <c r="BL654" s="25"/>
      <c r="BM654" s="25"/>
      <c r="BN654" s="25"/>
    </row>
    <row r="655" spans="1:66" ht="13.5" customHeight="1" x14ac:dyDescent="0.2">
      <c r="A655" s="22"/>
      <c r="B655" s="23"/>
      <c r="C655" s="23"/>
      <c r="D655" s="24"/>
      <c r="E655" s="24"/>
      <c r="F655" s="24"/>
      <c r="G655" s="24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7"/>
      <c r="AN655" s="25"/>
      <c r="AO655" s="25"/>
      <c r="AP655" s="28"/>
      <c r="AQ655" s="25"/>
      <c r="AR655" s="25"/>
      <c r="AS655" s="28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F655" s="25"/>
      <c r="BG655" s="25"/>
      <c r="BH655" s="25"/>
      <c r="BI655" s="25"/>
      <c r="BJ655" s="24"/>
      <c r="BK655" s="24"/>
      <c r="BL655" s="25"/>
      <c r="BM655" s="25"/>
      <c r="BN655" s="25"/>
    </row>
    <row r="656" spans="1:66" ht="13.5" customHeight="1" x14ac:dyDescent="0.2">
      <c r="A656" s="22"/>
      <c r="B656" s="23"/>
      <c r="C656" s="23"/>
      <c r="D656" s="24"/>
      <c r="E656" s="24"/>
      <c r="F656" s="24"/>
      <c r="G656" s="24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7"/>
      <c r="AN656" s="25"/>
      <c r="AO656" s="25"/>
      <c r="AP656" s="28"/>
      <c r="AQ656" s="25"/>
      <c r="AR656" s="25"/>
      <c r="AS656" s="28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F656" s="25"/>
      <c r="BG656" s="25"/>
      <c r="BH656" s="25"/>
      <c r="BI656" s="25"/>
      <c r="BJ656" s="24"/>
      <c r="BK656" s="24"/>
      <c r="BL656" s="25"/>
      <c r="BM656" s="25"/>
      <c r="BN656" s="25"/>
    </row>
    <row r="657" spans="1:66" ht="13.5" customHeight="1" x14ac:dyDescent="0.2">
      <c r="A657" s="22"/>
      <c r="B657" s="23"/>
      <c r="C657" s="23"/>
      <c r="D657" s="24"/>
      <c r="E657" s="24"/>
      <c r="F657" s="24"/>
      <c r="G657" s="24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7"/>
      <c r="AN657" s="25"/>
      <c r="AO657" s="25"/>
      <c r="AP657" s="28"/>
      <c r="AQ657" s="25"/>
      <c r="AR657" s="25"/>
      <c r="AS657" s="28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F657" s="25"/>
      <c r="BG657" s="25"/>
      <c r="BH657" s="25"/>
      <c r="BI657" s="25"/>
      <c r="BJ657" s="24"/>
      <c r="BK657" s="24"/>
      <c r="BL657" s="25"/>
      <c r="BM657" s="25"/>
      <c r="BN657" s="25"/>
    </row>
    <row r="658" spans="1:66" ht="13.5" customHeight="1" x14ac:dyDescent="0.2">
      <c r="A658" s="22"/>
      <c r="B658" s="23"/>
      <c r="C658" s="23"/>
      <c r="D658" s="24"/>
      <c r="E658" s="24"/>
      <c r="F658" s="24"/>
      <c r="G658" s="24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7"/>
      <c r="AN658" s="25"/>
      <c r="AO658" s="25"/>
      <c r="AP658" s="28"/>
      <c r="AQ658" s="25"/>
      <c r="AR658" s="25"/>
      <c r="AS658" s="28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F658" s="25"/>
      <c r="BG658" s="25"/>
      <c r="BH658" s="25"/>
      <c r="BI658" s="25"/>
      <c r="BJ658" s="24"/>
      <c r="BK658" s="24"/>
      <c r="BL658" s="25"/>
      <c r="BM658" s="25"/>
      <c r="BN658" s="25"/>
    </row>
    <row r="659" spans="1:66" ht="13.5" customHeight="1" x14ac:dyDescent="0.2">
      <c r="A659" s="22"/>
      <c r="B659" s="23"/>
      <c r="C659" s="23"/>
      <c r="D659" s="24"/>
      <c r="E659" s="24"/>
      <c r="F659" s="24"/>
      <c r="G659" s="24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7"/>
      <c r="AN659" s="25"/>
      <c r="AO659" s="25"/>
      <c r="AP659" s="28"/>
      <c r="AQ659" s="25"/>
      <c r="AR659" s="25"/>
      <c r="AS659" s="28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F659" s="25"/>
      <c r="BG659" s="25"/>
      <c r="BH659" s="25"/>
      <c r="BI659" s="25"/>
      <c r="BJ659" s="24"/>
      <c r="BK659" s="24"/>
      <c r="BL659" s="25"/>
      <c r="BM659" s="25"/>
      <c r="BN659" s="25"/>
    </row>
    <row r="660" spans="1:66" ht="13.5" customHeight="1" x14ac:dyDescent="0.2">
      <c r="A660" s="22"/>
      <c r="B660" s="23"/>
      <c r="C660" s="23"/>
      <c r="D660" s="24"/>
      <c r="E660" s="24"/>
      <c r="F660" s="24"/>
      <c r="G660" s="24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7"/>
      <c r="AN660" s="25"/>
      <c r="AO660" s="25"/>
      <c r="AP660" s="28"/>
      <c r="AQ660" s="25"/>
      <c r="AR660" s="25"/>
      <c r="AS660" s="28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F660" s="25"/>
      <c r="BG660" s="25"/>
      <c r="BH660" s="25"/>
      <c r="BI660" s="25"/>
      <c r="BJ660" s="24"/>
      <c r="BK660" s="24"/>
      <c r="BL660" s="25"/>
      <c r="BM660" s="25"/>
      <c r="BN660" s="25"/>
    </row>
    <row r="661" spans="1:66" ht="13.5" customHeight="1" x14ac:dyDescent="0.2">
      <c r="A661" s="22"/>
      <c r="B661" s="23"/>
      <c r="C661" s="23"/>
      <c r="D661" s="24"/>
      <c r="E661" s="24"/>
      <c r="F661" s="24"/>
      <c r="G661" s="24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7"/>
      <c r="AN661" s="25"/>
      <c r="AO661" s="25"/>
      <c r="AP661" s="28"/>
      <c r="AQ661" s="25"/>
      <c r="AR661" s="25"/>
      <c r="AS661" s="28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F661" s="25"/>
      <c r="BG661" s="25"/>
      <c r="BH661" s="25"/>
      <c r="BI661" s="25"/>
      <c r="BJ661" s="24"/>
      <c r="BK661" s="24"/>
      <c r="BL661" s="25"/>
      <c r="BM661" s="25"/>
      <c r="BN661" s="25"/>
    </row>
    <row r="662" spans="1:66" ht="13.5" customHeight="1" x14ac:dyDescent="0.2">
      <c r="A662" s="22"/>
      <c r="B662" s="23"/>
      <c r="C662" s="23"/>
      <c r="D662" s="24"/>
      <c r="E662" s="24"/>
      <c r="F662" s="24"/>
      <c r="G662" s="24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7"/>
      <c r="AN662" s="25"/>
      <c r="AO662" s="25"/>
      <c r="AP662" s="28"/>
      <c r="AQ662" s="25"/>
      <c r="AR662" s="25"/>
      <c r="AS662" s="28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F662" s="25"/>
      <c r="BG662" s="25"/>
      <c r="BH662" s="25"/>
      <c r="BI662" s="25"/>
      <c r="BJ662" s="24"/>
      <c r="BK662" s="24"/>
      <c r="BL662" s="25"/>
      <c r="BM662" s="25"/>
      <c r="BN662" s="25"/>
    </row>
    <row r="663" spans="1:66" ht="13.5" customHeight="1" x14ac:dyDescent="0.2">
      <c r="A663" s="22"/>
      <c r="B663" s="23"/>
      <c r="C663" s="23"/>
      <c r="D663" s="24"/>
      <c r="E663" s="24"/>
      <c r="F663" s="24"/>
      <c r="G663" s="24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7"/>
      <c r="AN663" s="25"/>
      <c r="AO663" s="25"/>
      <c r="AP663" s="28"/>
      <c r="AQ663" s="25"/>
      <c r="AR663" s="25"/>
      <c r="AS663" s="28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F663" s="25"/>
      <c r="BG663" s="25"/>
      <c r="BH663" s="25"/>
      <c r="BI663" s="25"/>
      <c r="BJ663" s="24"/>
      <c r="BK663" s="24"/>
      <c r="BL663" s="25"/>
      <c r="BM663" s="25"/>
      <c r="BN663" s="25"/>
    </row>
    <row r="664" spans="1:66" ht="13.5" customHeight="1" x14ac:dyDescent="0.2">
      <c r="A664" s="22"/>
      <c r="B664" s="23"/>
      <c r="C664" s="23"/>
      <c r="D664" s="24"/>
      <c r="E664" s="24"/>
      <c r="F664" s="24"/>
      <c r="G664" s="24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7"/>
      <c r="AN664" s="25"/>
      <c r="AO664" s="25"/>
      <c r="AP664" s="28"/>
      <c r="AQ664" s="25"/>
      <c r="AR664" s="25"/>
      <c r="AS664" s="28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F664" s="25"/>
      <c r="BG664" s="25"/>
      <c r="BH664" s="25"/>
      <c r="BI664" s="25"/>
      <c r="BJ664" s="24"/>
      <c r="BK664" s="24"/>
      <c r="BL664" s="25"/>
      <c r="BM664" s="25"/>
      <c r="BN664" s="25"/>
    </row>
    <row r="665" spans="1:66" ht="13.5" customHeight="1" x14ac:dyDescent="0.2">
      <c r="A665" s="22"/>
      <c r="B665" s="23"/>
      <c r="C665" s="23"/>
      <c r="D665" s="24"/>
      <c r="E665" s="24"/>
      <c r="F665" s="24"/>
      <c r="G665" s="24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7"/>
      <c r="AN665" s="25"/>
      <c r="AO665" s="25"/>
      <c r="AP665" s="28"/>
      <c r="AQ665" s="25"/>
      <c r="AR665" s="25"/>
      <c r="AS665" s="28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F665" s="25"/>
      <c r="BG665" s="25"/>
      <c r="BH665" s="25"/>
      <c r="BI665" s="25"/>
      <c r="BJ665" s="24"/>
      <c r="BK665" s="24"/>
      <c r="BL665" s="25"/>
      <c r="BM665" s="25"/>
      <c r="BN665" s="25"/>
    </row>
    <row r="666" spans="1:66" ht="13.5" customHeight="1" x14ac:dyDescent="0.2">
      <c r="A666" s="22"/>
      <c r="B666" s="23"/>
      <c r="C666" s="23"/>
      <c r="D666" s="24"/>
      <c r="E666" s="24"/>
      <c r="F666" s="24"/>
      <c r="G666" s="24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7"/>
      <c r="AN666" s="25"/>
      <c r="AO666" s="25"/>
      <c r="AP666" s="28"/>
      <c r="AQ666" s="25"/>
      <c r="AR666" s="25"/>
      <c r="AS666" s="28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F666" s="25"/>
      <c r="BG666" s="25"/>
      <c r="BH666" s="25"/>
      <c r="BI666" s="25"/>
      <c r="BJ666" s="24"/>
      <c r="BK666" s="24"/>
      <c r="BL666" s="25"/>
      <c r="BM666" s="25"/>
      <c r="BN666" s="25"/>
    </row>
    <row r="667" spans="1:66" ht="13.5" customHeight="1" x14ac:dyDescent="0.2">
      <c r="A667" s="22"/>
      <c r="B667" s="23"/>
      <c r="C667" s="23"/>
      <c r="D667" s="24"/>
      <c r="E667" s="24"/>
      <c r="F667" s="24"/>
      <c r="G667" s="24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7"/>
      <c r="AN667" s="25"/>
      <c r="AO667" s="25"/>
      <c r="AP667" s="28"/>
      <c r="AQ667" s="25"/>
      <c r="AR667" s="25"/>
      <c r="AS667" s="28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F667" s="25"/>
      <c r="BG667" s="25"/>
      <c r="BH667" s="25"/>
      <c r="BI667" s="25"/>
      <c r="BJ667" s="24"/>
      <c r="BK667" s="24"/>
      <c r="BL667" s="25"/>
      <c r="BM667" s="25"/>
      <c r="BN667" s="25"/>
    </row>
    <row r="668" spans="1:66" ht="13.5" customHeight="1" x14ac:dyDescent="0.2">
      <c r="A668" s="22"/>
      <c r="B668" s="23"/>
      <c r="C668" s="23"/>
      <c r="D668" s="24"/>
      <c r="E668" s="24"/>
      <c r="F668" s="24"/>
      <c r="G668" s="24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7"/>
      <c r="AN668" s="25"/>
      <c r="AO668" s="25"/>
      <c r="AP668" s="28"/>
      <c r="AQ668" s="25"/>
      <c r="AR668" s="25"/>
      <c r="AS668" s="28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F668" s="25"/>
      <c r="BG668" s="25"/>
      <c r="BH668" s="25"/>
      <c r="BI668" s="25"/>
      <c r="BJ668" s="24"/>
      <c r="BK668" s="24"/>
      <c r="BL668" s="25"/>
      <c r="BM668" s="25"/>
      <c r="BN668" s="25"/>
    </row>
    <row r="669" spans="1:66" ht="13.5" customHeight="1" x14ac:dyDescent="0.2">
      <c r="A669" s="22"/>
      <c r="B669" s="23"/>
      <c r="C669" s="23"/>
      <c r="D669" s="24"/>
      <c r="E669" s="24"/>
      <c r="F669" s="24"/>
      <c r="G669" s="24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7"/>
      <c r="AN669" s="25"/>
      <c r="AO669" s="25"/>
      <c r="AP669" s="28"/>
      <c r="AQ669" s="25"/>
      <c r="AR669" s="25"/>
      <c r="AS669" s="28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F669" s="25"/>
      <c r="BG669" s="25"/>
      <c r="BH669" s="25"/>
      <c r="BI669" s="25"/>
      <c r="BJ669" s="24"/>
      <c r="BK669" s="24"/>
      <c r="BL669" s="25"/>
      <c r="BM669" s="25"/>
      <c r="BN669" s="25"/>
    </row>
    <row r="670" spans="1:66" ht="13.5" customHeight="1" x14ac:dyDescent="0.2">
      <c r="A670" s="22"/>
      <c r="B670" s="23"/>
      <c r="C670" s="23"/>
      <c r="D670" s="24"/>
      <c r="E670" s="24"/>
      <c r="F670" s="24"/>
      <c r="G670" s="24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7"/>
      <c r="AN670" s="25"/>
      <c r="AO670" s="25"/>
      <c r="AP670" s="28"/>
      <c r="AQ670" s="25"/>
      <c r="AR670" s="25"/>
      <c r="AS670" s="28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F670" s="25"/>
      <c r="BG670" s="25"/>
      <c r="BH670" s="25"/>
      <c r="BI670" s="25"/>
      <c r="BJ670" s="24"/>
      <c r="BK670" s="24"/>
      <c r="BL670" s="25"/>
      <c r="BM670" s="25"/>
      <c r="BN670" s="25"/>
    </row>
    <row r="671" spans="1:66" ht="13.5" customHeight="1" x14ac:dyDescent="0.2">
      <c r="A671" s="22"/>
      <c r="B671" s="23"/>
      <c r="C671" s="23"/>
      <c r="D671" s="24"/>
      <c r="E671" s="24"/>
      <c r="F671" s="24"/>
      <c r="G671" s="24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7"/>
      <c r="AN671" s="25"/>
      <c r="AO671" s="25"/>
      <c r="AP671" s="28"/>
      <c r="AQ671" s="25"/>
      <c r="AR671" s="25"/>
      <c r="AS671" s="28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F671" s="25"/>
      <c r="BG671" s="25"/>
      <c r="BH671" s="25"/>
      <c r="BI671" s="25"/>
      <c r="BJ671" s="24"/>
      <c r="BK671" s="24"/>
      <c r="BL671" s="25"/>
      <c r="BM671" s="25"/>
      <c r="BN671" s="25"/>
    </row>
    <row r="672" spans="1:66" ht="13.5" customHeight="1" x14ac:dyDescent="0.2">
      <c r="A672" s="22"/>
      <c r="B672" s="23"/>
      <c r="C672" s="23"/>
      <c r="D672" s="24"/>
      <c r="E672" s="24"/>
      <c r="F672" s="24"/>
      <c r="G672" s="24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7"/>
      <c r="AN672" s="25"/>
      <c r="AO672" s="25"/>
      <c r="AP672" s="28"/>
      <c r="AQ672" s="25"/>
      <c r="AR672" s="25"/>
      <c r="AS672" s="28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F672" s="25"/>
      <c r="BG672" s="25"/>
      <c r="BH672" s="25"/>
      <c r="BI672" s="25"/>
      <c r="BJ672" s="24"/>
      <c r="BK672" s="24"/>
      <c r="BL672" s="25"/>
      <c r="BM672" s="25"/>
      <c r="BN672" s="25"/>
    </row>
    <row r="673" spans="1:66" ht="13.5" customHeight="1" x14ac:dyDescent="0.2">
      <c r="A673" s="22"/>
      <c r="B673" s="23"/>
      <c r="C673" s="23"/>
      <c r="D673" s="24"/>
      <c r="E673" s="24"/>
      <c r="F673" s="24"/>
      <c r="G673" s="24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7"/>
      <c r="AN673" s="25"/>
      <c r="AO673" s="25"/>
      <c r="AP673" s="28"/>
      <c r="AQ673" s="25"/>
      <c r="AR673" s="25"/>
      <c r="AS673" s="28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F673" s="25"/>
      <c r="BG673" s="25"/>
      <c r="BH673" s="25"/>
      <c r="BI673" s="25"/>
      <c r="BJ673" s="24"/>
      <c r="BK673" s="24"/>
      <c r="BL673" s="25"/>
      <c r="BM673" s="25"/>
      <c r="BN673" s="25"/>
    </row>
    <row r="674" spans="1:66" ht="13.5" customHeight="1" x14ac:dyDescent="0.2">
      <c r="A674" s="22"/>
      <c r="B674" s="23"/>
      <c r="C674" s="23"/>
      <c r="D674" s="24"/>
      <c r="E674" s="24"/>
      <c r="F674" s="24"/>
      <c r="G674" s="24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7"/>
      <c r="AN674" s="25"/>
      <c r="AO674" s="25"/>
      <c r="AP674" s="28"/>
      <c r="AQ674" s="25"/>
      <c r="AR674" s="25"/>
      <c r="AS674" s="28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F674" s="25"/>
      <c r="BG674" s="25"/>
      <c r="BH674" s="25"/>
      <c r="BI674" s="25"/>
      <c r="BJ674" s="24"/>
      <c r="BK674" s="24"/>
      <c r="BL674" s="25"/>
      <c r="BM674" s="25"/>
      <c r="BN674" s="25"/>
    </row>
    <row r="675" spans="1:66" ht="13.5" customHeight="1" x14ac:dyDescent="0.2">
      <c r="A675" s="22"/>
      <c r="B675" s="23"/>
      <c r="C675" s="23"/>
      <c r="D675" s="24"/>
      <c r="E675" s="24"/>
      <c r="F675" s="24"/>
      <c r="G675" s="24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7"/>
      <c r="AN675" s="25"/>
      <c r="AO675" s="25"/>
      <c r="AP675" s="28"/>
      <c r="AQ675" s="25"/>
      <c r="AR675" s="25"/>
      <c r="AS675" s="28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F675" s="25"/>
      <c r="BG675" s="25"/>
      <c r="BH675" s="25"/>
      <c r="BI675" s="25"/>
      <c r="BJ675" s="24"/>
      <c r="BK675" s="24"/>
      <c r="BL675" s="25"/>
      <c r="BM675" s="25"/>
      <c r="BN675" s="25"/>
    </row>
    <row r="676" spans="1:66" ht="13.5" customHeight="1" x14ac:dyDescent="0.2">
      <c r="A676" s="22"/>
      <c r="B676" s="23"/>
      <c r="C676" s="23"/>
      <c r="D676" s="24"/>
      <c r="E676" s="24"/>
      <c r="F676" s="24"/>
      <c r="G676" s="24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7"/>
      <c r="AN676" s="25"/>
      <c r="AO676" s="25"/>
      <c r="AP676" s="28"/>
      <c r="AQ676" s="25"/>
      <c r="AR676" s="25"/>
      <c r="AS676" s="28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F676" s="25"/>
      <c r="BG676" s="25"/>
      <c r="BH676" s="25"/>
      <c r="BI676" s="25"/>
      <c r="BJ676" s="24"/>
      <c r="BK676" s="24"/>
      <c r="BL676" s="25"/>
      <c r="BM676" s="25"/>
      <c r="BN676" s="25"/>
    </row>
    <row r="677" spans="1:66" ht="13.5" customHeight="1" x14ac:dyDescent="0.2">
      <c r="A677" s="22"/>
      <c r="B677" s="23"/>
      <c r="C677" s="23"/>
      <c r="D677" s="24"/>
      <c r="E677" s="24"/>
      <c r="F677" s="24"/>
      <c r="G677" s="24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7"/>
      <c r="AN677" s="25"/>
      <c r="AO677" s="25"/>
      <c r="AP677" s="28"/>
      <c r="AQ677" s="25"/>
      <c r="AR677" s="25"/>
      <c r="AS677" s="28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F677" s="25"/>
      <c r="BG677" s="25"/>
      <c r="BH677" s="25"/>
      <c r="BI677" s="25"/>
      <c r="BJ677" s="24"/>
      <c r="BK677" s="24"/>
      <c r="BL677" s="25"/>
      <c r="BM677" s="25"/>
      <c r="BN677" s="25"/>
    </row>
    <row r="678" spans="1:66" ht="13.5" customHeight="1" x14ac:dyDescent="0.2">
      <c r="A678" s="22"/>
      <c r="B678" s="23"/>
      <c r="C678" s="23"/>
      <c r="D678" s="24"/>
      <c r="E678" s="24"/>
      <c r="F678" s="24"/>
      <c r="G678" s="24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7"/>
      <c r="AN678" s="25"/>
      <c r="AO678" s="25"/>
      <c r="AP678" s="28"/>
      <c r="AQ678" s="25"/>
      <c r="AR678" s="25"/>
      <c r="AS678" s="28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F678" s="25"/>
      <c r="BG678" s="25"/>
      <c r="BH678" s="25"/>
      <c r="BI678" s="25"/>
      <c r="BJ678" s="24"/>
      <c r="BK678" s="24"/>
      <c r="BL678" s="25"/>
      <c r="BM678" s="25"/>
      <c r="BN678" s="25"/>
    </row>
    <row r="679" spans="1:66" ht="13.5" customHeight="1" x14ac:dyDescent="0.2">
      <c r="A679" s="22"/>
      <c r="B679" s="23"/>
      <c r="C679" s="23"/>
      <c r="D679" s="24"/>
      <c r="E679" s="24"/>
      <c r="F679" s="24"/>
      <c r="G679" s="24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7"/>
      <c r="AN679" s="25"/>
      <c r="AO679" s="25"/>
      <c r="AP679" s="28"/>
      <c r="AQ679" s="25"/>
      <c r="AR679" s="25"/>
      <c r="AS679" s="28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F679" s="25"/>
      <c r="BG679" s="25"/>
      <c r="BH679" s="25"/>
      <c r="BI679" s="25"/>
      <c r="BJ679" s="24"/>
      <c r="BK679" s="24"/>
      <c r="BL679" s="25"/>
      <c r="BM679" s="25"/>
      <c r="BN679" s="25"/>
    </row>
    <row r="680" spans="1:66" ht="13.5" customHeight="1" x14ac:dyDescent="0.2">
      <c r="A680" s="22"/>
      <c r="B680" s="23"/>
      <c r="C680" s="23"/>
      <c r="D680" s="24"/>
      <c r="E680" s="24"/>
      <c r="F680" s="24"/>
      <c r="G680" s="24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7"/>
      <c r="AN680" s="25"/>
      <c r="AO680" s="25"/>
      <c r="AP680" s="28"/>
      <c r="AQ680" s="25"/>
      <c r="AR680" s="25"/>
      <c r="AS680" s="28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F680" s="25"/>
      <c r="BG680" s="25"/>
      <c r="BH680" s="25"/>
      <c r="BI680" s="25"/>
      <c r="BJ680" s="24"/>
      <c r="BK680" s="24"/>
      <c r="BL680" s="25"/>
      <c r="BM680" s="25"/>
      <c r="BN680" s="25"/>
    </row>
    <row r="681" spans="1:66" ht="13.5" customHeight="1" x14ac:dyDescent="0.2">
      <c r="A681" s="22"/>
      <c r="B681" s="23"/>
      <c r="C681" s="23"/>
      <c r="D681" s="24"/>
      <c r="E681" s="24"/>
      <c r="F681" s="24"/>
      <c r="G681" s="24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7"/>
      <c r="AN681" s="25"/>
      <c r="AO681" s="25"/>
      <c r="AP681" s="28"/>
      <c r="AQ681" s="25"/>
      <c r="AR681" s="25"/>
      <c r="AS681" s="28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F681" s="25"/>
      <c r="BG681" s="25"/>
      <c r="BH681" s="25"/>
      <c r="BI681" s="25"/>
      <c r="BJ681" s="24"/>
      <c r="BK681" s="24"/>
      <c r="BL681" s="25"/>
      <c r="BM681" s="25"/>
      <c r="BN681" s="25"/>
    </row>
    <row r="682" spans="1:66" ht="13.5" customHeight="1" x14ac:dyDescent="0.2">
      <c r="A682" s="22"/>
      <c r="B682" s="23"/>
      <c r="C682" s="23"/>
      <c r="D682" s="24"/>
      <c r="E682" s="24"/>
      <c r="F682" s="24"/>
      <c r="G682" s="24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7"/>
      <c r="AN682" s="25"/>
      <c r="AO682" s="25"/>
      <c r="AP682" s="28"/>
      <c r="AQ682" s="25"/>
      <c r="AR682" s="25"/>
      <c r="AS682" s="28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F682" s="25"/>
      <c r="BG682" s="25"/>
      <c r="BH682" s="25"/>
      <c r="BI682" s="25"/>
      <c r="BJ682" s="24"/>
      <c r="BK682" s="24"/>
      <c r="BL682" s="25"/>
      <c r="BM682" s="25"/>
      <c r="BN682" s="25"/>
    </row>
    <row r="683" spans="1:66" ht="13.5" customHeight="1" x14ac:dyDescent="0.2">
      <c r="A683" s="22"/>
      <c r="B683" s="23"/>
      <c r="C683" s="23"/>
      <c r="D683" s="24"/>
      <c r="E683" s="24"/>
      <c r="F683" s="24"/>
      <c r="G683" s="24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7"/>
      <c r="AN683" s="25"/>
      <c r="AO683" s="25"/>
      <c r="AP683" s="28"/>
      <c r="AQ683" s="25"/>
      <c r="AR683" s="25"/>
      <c r="AS683" s="28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F683" s="25"/>
      <c r="BG683" s="25"/>
      <c r="BH683" s="25"/>
      <c r="BI683" s="25"/>
      <c r="BJ683" s="24"/>
      <c r="BK683" s="24"/>
      <c r="BL683" s="25"/>
      <c r="BM683" s="25"/>
      <c r="BN683" s="25"/>
    </row>
    <row r="684" spans="1:66" ht="13.5" customHeight="1" x14ac:dyDescent="0.2">
      <c r="A684" s="22"/>
      <c r="B684" s="23"/>
      <c r="C684" s="23"/>
      <c r="D684" s="24"/>
      <c r="E684" s="24"/>
      <c r="F684" s="24"/>
      <c r="G684" s="24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7"/>
      <c r="AN684" s="25"/>
      <c r="AO684" s="25"/>
      <c r="AP684" s="28"/>
      <c r="AQ684" s="25"/>
      <c r="AR684" s="25"/>
      <c r="AS684" s="28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F684" s="25"/>
      <c r="BG684" s="25"/>
      <c r="BH684" s="25"/>
      <c r="BI684" s="25"/>
      <c r="BJ684" s="24"/>
      <c r="BK684" s="24"/>
      <c r="BL684" s="25"/>
      <c r="BM684" s="25"/>
      <c r="BN684" s="25"/>
    </row>
    <row r="685" spans="1:66" ht="13.5" customHeight="1" x14ac:dyDescent="0.2">
      <c r="A685" s="22"/>
      <c r="B685" s="23"/>
      <c r="C685" s="23"/>
      <c r="D685" s="24"/>
      <c r="E685" s="24"/>
      <c r="F685" s="24"/>
      <c r="G685" s="24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7"/>
      <c r="AN685" s="25"/>
      <c r="AO685" s="25"/>
      <c r="AP685" s="28"/>
      <c r="AQ685" s="25"/>
      <c r="AR685" s="25"/>
      <c r="AS685" s="28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F685" s="25"/>
      <c r="BG685" s="25"/>
      <c r="BH685" s="25"/>
      <c r="BI685" s="25"/>
      <c r="BJ685" s="24"/>
      <c r="BK685" s="24"/>
      <c r="BL685" s="25"/>
      <c r="BM685" s="25"/>
      <c r="BN685" s="25"/>
    </row>
    <row r="686" spans="1:66" ht="13.5" customHeight="1" x14ac:dyDescent="0.2">
      <c r="A686" s="22"/>
      <c r="B686" s="23"/>
      <c r="C686" s="23"/>
      <c r="D686" s="24"/>
      <c r="E686" s="24"/>
      <c r="F686" s="24"/>
      <c r="G686" s="24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7"/>
      <c r="AN686" s="25"/>
      <c r="AO686" s="25"/>
      <c r="AP686" s="28"/>
      <c r="AQ686" s="25"/>
      <c r="AR686" s="25"/>
      <c r="AS686" s="28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F686" s="25"/>
      <c r="BG686" s="25"/>
      <c r="BH686" s="25"/>
      <c r="BI686" s="25"/>
      <c r="BJ686" s="24"/>
      <c r="BK686" s="24"/>
      <c r="BL686" s="25"/>
      <c r="BM686" s="25"/>
      <c r="BN686" s="25"/>
    </row>
    <row r="687" spans="1:66" ht="13.5" customHeight="1" x14ac:dyDescent="0.2">
      <c r="A687" s="22"/>
      <c r="B687" s="23"/>
      <c r="C687" s="23"/>
      <c r="D687" s="24"/>
      <c r="E687" s="24"/>
      <c r="F687" s="24"/>
      <c r="G687" s="24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7"/>
      <c r="AN687" s="25"/>
      <c r="AO687" s="25"/>
      <c r="AP687" s="28"/>
      <c r="AQ687" s="25"/>
      <c r="AR687" s="25"/>
      <c r="AS687" s="28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F687" s="25"/>
      <c r="BG687" s="25"/>
      <c r="BH687" s="25"/>
      <c r="BI687" s="25"/>
      <c r="BJ687" s="24"/>
      <c r="BK687" s="24"/>
      <c r="BL687" s="25"/>
      <c r="BM687" s="25"/>
      <c r="BN687" s="25"/>
    </row>
    <row r="688" spans="1:66" ht="13.5" customHeight="1" x14ac:dyDescent="0.2">
      <c r="A688" s="22"/>
      <c r="B688" s="23"/>
      <c r="C688" s="23"/>
      <c r="D688" s="24"/>
      <c r="E688" s="24"/>
      <c r="F688" s="24"/>
      <c r="G688" s="24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7"/>
      <c r="AN688" s="25"/>
      <c r="AO688" s="25"/>
      <c r="AP688" s="28"/>
      <c r="AQ688" s="25"/>
      <c r="AR688" s="25"/>
      <c r="AS688" s="28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F688" s="25"/>
      <c r="BG688" s="25"/>
      <c r="BH688" s="25"/>
      <c r="BI688" s="25"/>
      <c r="BJ688" s="24"/>
      <c r="BK688" s="24"/>
      <c r="BL688" s="25"/>
      <c r="BM688" s="25"/>
      <c r="BN688" s="25"/>
    </row>
    <row r="689" spans="1:66" ht="13.5" customHeight="1" x14ac:dyDescent="0.2">
      <c r="A689" s="22"/>
      <c r="B689" s="23"/>
      <c r="C689" s="23"/>
      <c r="D689" s="24"/>
      <c r="E689" s="24"/>
      <c r="F689" s="24"/>
      <c r="G689" s="24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7"/>
      <c r="AN689" s="25"/>
      <c r="AO689" s="25"/>
      <c r="AP689" s="28"/>
      <c r="AQ689" s="25"/>
      <c r="AR689" s="25"/>
      <c r="AS689" s="28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F689" s="25"/>
      <c r="BG689" s="25"/>
      <c r="BH689" s="25"/>
      <c r="BI689" s="25"/>
      <c r="BJ689" s="24"/>
      <c r="BK689" s="24"/>
      <c r="BL689" s="25"/>
      <c r="BM689" s="25"/>
      <c r="BN689" s="25"/>
    </row>
    <row r="690" spans="1:66" ht="13.5" customHeight="1" x14ac:dyDescent="0.2">
      <c r="A690" s="22"/>
      <c r="B690" s="23"/>
      <c r="C690" s="23"/>
      <c r="D690" s="24"/>
      <c r="E690" s="24"/>
      <c r="F690" s="24"/>
      <c r="G690" s="24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7"/>
      <c r="AN690" s="25"/>
      <c r="AO690" s="25"/>
      <c r="AP690" s="28"/>
      <c r="AQ690" s="25"/>
      <c r="AR690" s="25"/>
      <c r="AS690" s="28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F690" s="25"/>
      <c r="BG690" s="25"/>
      <c r="BH690" s="25"/>
      <c r="BI690" s="25"/>
      <c r="BJ690" s="24"/>
      <c r="BK690" s="24"/>
      <c r="BL690" s="25"/>
      <c r="BM690" s="25"/>
      <c r="BN690" s="25"/>
    </row>
    <row r="691" spans="1:66" ht="13.5" customHeight="1" x14ac:dyDescent="0.2">
      <c r="A691" s="22"/>
      <c r="B691" s="23"/>
      <c r="C691" s="23"/>
      <c r="D691" s="24"/>
      <c r="E691" s="24"/>
      <c r="F691" s="24"/>
      <c r="G691" s="24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7"/>
      <c r="AN691" s="25"/>
      <c r="AO691" s="25"/>
      <c r="AP691" s="28"/>
      <c r="AQ691" s="25"/>
      <c r="AR691" s="25"/>
      <c r="AS691" s="28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F691" s="25"/>
      <c r="BG691" s="25"/>
      <c r="BH691" s="25"/>
      <c r="BI691" s="25"/>
      <c r="BJ691" s="24"/>
      <c r="BK691" s="24"/>
      <c r="BL691" s="25"/>
      <c r="BM691" s="25"/>
      <c r="BN691" s="25"/>
    </row>
    <row r="692" spans="1:66" ht="13.5" customHeight="1" x14ac:dyDescent="0.2">
      <c r="A692" s="22"/>
      <c r="B692" s="23"/>
      <c r="C692" s="23"/>
      <c r="D692" s="24"/>
      <c r="E692" s="24"/>
      <c r="F692" s="24"/>
      <c r="G692" s="24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7"/>
      <c r="AN692" s="25"/>
      <c r="AO692" s="25"/>
      <c r="AP692" s="28"/>
      <c r="AQ692" s="25"/>
      <c r="AR692" s="25"/>
      <c r="AS692" s="28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F692" s="25"/>
      <c r="BG692" s="25"/>
      <c r="BH692" s="25"/>
      <c r="BI692" s="25"/>
      <c r="BJ692" s="24"/>
      <c r="BK692" s="24"/>
      <c r="BL692" s="25"/>
      <c r="BM692" s="25"/>
      <c r="BN692" s="25"/>
    </row>
    <row r="693" spans="1:66" ht="13.5" customHeight="1" x14ac:dyDescent="0.2">
      <c r="A693" s="22"/>
      <c r="B693" s="23"/>
      <c r="C693" s="23"/>
      <c r="D693" s="24"/>
      <c r="E693" s="24"/>
      <c r="F693" s="24"/>
      <c r="G693" s="24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7"/>
      <c r="AN693" s="25"/>
      <c r="AO693" s="25"/>
      <c r="AP693" s="28"/>
      <c r="AQ693" s="25"/>
      <c r="AR693" s="25"/>
      <c r="AS693" s="28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F693" s="25"/>
      <c r="BG693" s="25"/>
      <c r="BH693" s="25"/>
      <c r="BI693" s="25"/>
      <c r="BJ693" s="24"/>
      <c r="BK693" s="24"/>
      <c r="BL693" s="25"/>
      <c r="BM693" s="25"/>
      <c r="BN693" s="25"/>
    </row>
    <row r="694" spans="1:66" ht="13.5" customHeight="1" x14ac:dyDescent="0.2">
      <c r="A694" s="22"/>
      <c r="B694" s="23"/>
      <c r="C694" s="23"/>
      <c r="D694" s="24"/>
      <c r="E694" s="24"/>
      <c r="F694" s="24"/>
      <c r="G694" s="24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7"/>
      <c r="AN694" s="25"/>
      <c r="AO694" s="25"/>
      <c r="AP694" s="28"/>
      <c r="AQ694" s="25"/>
      <c r="AR694" s="25"/>
      <c r="AS694" s="28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F694" s="25"/>
      <c r="BG694" s="25"/>
      <c r="BH694" s="25"/>
      <c r="BI694" s="25"/>
      <c r="BJ694" s="24"/>
      <c r="BK694" s="24"/>
      <c r="BL694" s="25"/>
      <c r="BM694" s="25"/>
      <c r="BN694" s="25"/>
    </row>
    <row r="695" spans="1:66" ht="13.5" customHeight="1" x14ac:dyDescent="0.2">
      <c r="A695" s="22"/>
      <c r="B695" s="23"/>
      <c r="C695" s="23"/>
      <c r="D695" s="24"/>
      <c r="E695" s="24"/>
      <c r="F695" s="24"/>
      <c r="G695" s="24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7"/>
      <c r="AN695" s="25"/>
      <c r="AO695" s="25"/>
      <c r="AP695" s="28"/>
      <c r="AQ695" s="25"/>
      <c r="AR695" s="25"/>
      <c r="AS695" s="28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F695" s="25"/>
      <c r="BG695" s="25"/>
      <c r="BH695" s="25"/>
      <c r="BI695" s="25"/>
      <c r="BJ695" s="24"/>
      <c r="BK695" s="24"/>
      <c r="BL695" s="25"/>
      <c r="BM695" s="25"/>
      <c r="BN695" s="25"/>
    </row>
    <row r="696" spans="1:66" ht="13.5" customHeight="1" x14ac:dyDescent="0.2">
      <c r="A696" s="22"/>
      <c r="B696" s="23"/>
      <c r="C696" s="23"/>
      <c r="D696" s="24"/>
      <c r="E696" s="24"/>
      <c r="F696" s="24"/>
      <c r="G696" s="24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7"/>
      <c r="AN696" s="25"/>
      <c r="AO696" s="25"/>
      <c r="AP696" s="28"/>
      <c r="AQ696" s="25"/>
      <c r="AR696" s="25"/>
      <c r="AS696" s="28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F696" s="25"/>
      <c r="BG696" s="25"/>
      <c r="BH696" s="25"/>
      <c r="BI696" s="25"/>
      <c r="BJ696" s="24"/>
      <c r="BK696" s="24"/>
      <c r="BL696" s="25"/>
      <c r="BM696" s="25"/>
      <c r="BN696" s="25"/>
    </row>
    <row r="697" spans="1:66" ht="13.5" customHeight="1" x14ac:dyDescent="0.2">
      <c r="A697" s="22"/>
      <c r="B697" s="23"/>
      <c r="C697" s="23"/>
      <c r="D697" s="24"/>
      <c r="E697" s="24"/>
      <c r="F697" s="24"/>
      <c r="G697" s="24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7"/>
      <c r="AN697" s="25"/>
      <c r="AO697" s="25"/>
      <c r="AP697" s="28"/>
      <c r="AQ697" s="25"/>
      <c r="AR697" s="25"/>
      <c r="AS697" s="28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F697" s="25"/>
      <c r="BG697" s="25"/>
      <c r="BH697" s="25"/>
      <c r="BI697" s="25"/>
      <c r="BJ697" s="24"/>
      <c r="BK697" s="24"/>
      <c r="BL697" s="25"/>
      <c r="BM697" s="25"/>
      <c r="BN697" s="25"/>
    </row>
    <row r="698" spans="1:66" ht="13.5" customHeight="1" x14ac:dyDescent="0.2">
      <c r="A698" s="22"/>
      <c r="B698" s="23"/>
      <c r="C698" s="23"/>
      <c r="D698" s="24"/>
      <c r="E698" s="24"/>
      <c r="F698" s="24"/>
      <c r="G698" s="24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7"/>
      <c r="AN698" s="25"/>
      <c r="AO698" s="25"/>
      <c r="AP698" s="28"/>
      <c r="AQ698" s="25"/>
      <c r="AR698" s="25"/>
      <c r="AS698" s="28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F698" s="25"/>
      <c r="BG698" s="25"/>
      <c r="BH698" s="25"/>
      <c r="BI698" s="25"/>
      <c r="BJ698" s="24"/>
      <c r="BK698" s="24"/>
      <c r="BL698" s="25"/>
      <c r="BM698" s="25"/>
      <c r="BN698" s="25"/>
    </row>
    <row r="699" spans="1:66" ht="13.5" customHeight="1" x14ac:dyDescent="0.2">
      <c r="A699" s="22"/>
      <c r="B699" s="23"/>
      <c r="C699" s="23"/>
      <c r="D699" s="24"/>
      <c r="E699" s="24"/>
      <c r="F699" s="24"/>
      <c r="G699" s="24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7"/>
      <c r="AN699" s="25"/>
      <c r="AO699" s="25"/>
      <c r="AP699" s="28"/>
      <c r="AQ699" s="25"/>
      <c r="AR699" s="25"/>
      <c r="AS699" s="28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F699" s="25"/>
      <c r="BG699" s="25"/>
      <c r="BH699" s="25"/>
      <c r="BI699" s="25"/>
      <c r="BJ699" s="24"/>
      <c r="BK699" s="24"/>
      <c r="BL699" s="25"/>
      <c r="BM699" s="25"/>
      <c r="BN699" s="25"/>
    </row>
    <row r="700" spans="1:66" ht="13.5" customHeight="1" x14ac:dyDescent="0.2">
      <c r="A700" s="22"/>
      <c r="B700" s="23"/>
      <c r="C700" s="23"/>
      <c r="D700" s="24"/>
      <c r="E700" s="24"/>
      <c r="F700" s="24"/>
      <c r="G700" s="24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7"/>
      <c r="AN700" s="25"/>
      <c r="AO700" s="25"/>
      <c r="AP700" s="28"/>
      <c r="AQ700" s="25"/>
      <c r="AR700" s="25"/>
      <c r="AS700" s="28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F700" s="25"/>
      <c r="BG700" s="25"/>
      <c r="BH700" s="25"/>
      <c r="BI700" s="25"/>
      <c r="BJ700" s="24"/>
      <c r="BK700" s="24"/>
      <c r="BL700" s="25"/>
      <c r="BM700" s="25"/>
      <c r="BN700" s="25"/>
    </row>
    <row r="701" spans="1:66" ht="13.5" customHeight="1" x14ac:dyDescent="0.2">
      <c r="A701" s="22"/>
      <c r="B701" s="23"/>
      <c r="C701" s="23"/>
      <c r="D701" s="24"/>
      <c r="E701" s="24"/>
      <c r="F701" s="24"/>
      <c r="G701" s="24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7"/>
      <c r="AN701" s="25"/>
      <c r="AO701" s="25"/>
      <c r="AP701" s="28"/>
      <c r="AQ701" s="25"/>
      <c r="AR701" s="25"/>
      <c r="AS701" s="28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F701" s="25"/>
      <c r="BG701" s="25"/>
      <c r="BH701" s="25"/>
      <c r="BI701" s="25"/>
      <c r="BJ701" s="24"/>
      <c r="BK701" s="24"/>
      <c r="BL701" s="25"/>
      <c r="BM701" s="25"/>
      <c r="BN701" s="25"/>
    </row>
    <row r="702" spans="1:66" ht="13.5" customHeight="1" x14ac:dyDescent="0.2">
      <c r="A702" s="22"/>
      <c r="B702" s="23"/>
      <c r="C702" s="23"/>
      <c r="D702" s="24"/>
      <c r="E702" s="24"/>
      <c r="F702" s="24"/>
      <c r="G702" s="24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7"/>
      <c r="AN702" s="25"/>
      <c r="AO702" s="25"/>
      <c r="AP702" s="28"/>
      <c r="AQ702" s="25"/>
      <c r="AR702" s="25"/>
      <c r="AS702" s="28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F702" s="25"/>
      <c r="BG702" s="25"/>
      <c r="BH702" s="25"/>
      <c r="BI702" s="25"/>
      <c r="BJ702" s="24"/>
      <c r="BK702" s="24"/>
      <c r="BL702" s="25"/>
      <c r="BM702" s="25"/>
      <c r="BN702" s="25"/>
    </row>
    <row r="703" spans="1:66" ht="13.5" customHeight="1" x14ac:dyDescent="0.2">
      <c r="A703" s="22"/>
      <c r="B703" s="23"/>
      <c r="C703" s="23"/>
      <c r="D703" s="24"/>
      <c r="E703" s="24"/>
      <c r="F703" s="24"/>
      <c r="G703" s="24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7"/>
      <c r="AN703" s="25"/>
      <c r="AO703" s="25"/>
      <c r="AP703" s="28"/>
      <c r="AQ703" s="25"/>
      <c r="AR703" s="25"/>
      <c r="AS703" s="28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F703" s="25"/>
      <c r="BG703" s="25"/>
      <c r="BH703" s="25"/>
      <c r="BI703" s="25"/>
      <c r="BJ703" s="24"/>
      <c r="BK703" s="24"/>
      <c r="BL703" s="25"/>
      <c r="BM703" s="25"/>
      <c r="BN703" s="25"/>
    </row>
    <row r="704" spans="1:66" ht="13.5" customHeight="1" x14ac:dyDescent="0.2">
      <c r="A704" s="22"/>
      <c r="B704" s="23"/>
      <c r="C704" s="23"/>
      <c r="D704" s="24"/>
      <c r="E704" s="24"/>
      <c r="F704" s="24"/>
      <c r="G704" s="24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7"/>
      <c r="AN704" s="25"/>
      <c r="AO704" s="25"/>
      <c r="AP704" s="28"/>
      <c r="AQ704" s="25"/>
      <c r="AR704" s="25"/>
      <c r="AS704" s="28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F704" s="25"/>
      <c r="BG704" s="25"/>
      <c r="BH704" s="25"/>
      <c r="BI704" s="25"/>
      <c r="BJ704" s="24"/>
      <c r="BK704" s="24"/>
      <c r="BL704" s="25"/>
      <c r="BM704" s="25"/>
      <c r="BN704" s="25"/>
    </row>
    <row r="705" spans="1:66" ht="13.5" customHeight="1" x14ac:dyDescent="0.2">
      <c r="A705" s="22"/>
      <c r="B705" s="23"/>
      <c r="C705" s="23"/>
      <c r="D705" s="24"/>
      <c r="E705" s="24"/>
      <c r="F705" s="24"/>
      <c r="G705" s="24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7"/>
      <c r="AN705" s="25"/>
      <c r="AO705" s="25"/>
      <c r="AP705" s="28"/>
      <c r="AQ705" s="25"/>
      <c r="AR705" s="25"/>
      <c r="AS705" s="28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F705" s="25"/>
      <c r="BG705" s="25"/>
      <c r="BH705" s="25"/>
      <c r="BI705" s="25"/>
      <c r="BJ705" s="24"/>
      <c r="BK705" s="24"/>
      <c r="BL705" s="25"/>
      <c r="BM705" s="25"/>
      <c r="BN705" s="25"/>
    </row>
    <row r="706" spans="1:66" ht="13.5" customHeight="1" x14ac:dyDescent="0.2">
      <c r="A706" s="22"/>
      <c r="B706" s="23"/>
      <c r="C706" s="23"/>
      <c r="D706" s="24"/>
      <c r="E706" s="24"/>
      <c r="F706" s="24"/>
      <c r="G706" s="24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7"/>
      <c r="AN706" s="25"/>
      <c r="AO706" s="25"/>
      <c r="AP706" s="28"/>
      <c r="AQ706" s="25"/>
      <c r="AR706" s="25"/>
      <c r="AS706" s="28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F706" s="25"/>
      <c r="BG706" s="25"/>
      <c r="BH706" s="25"/>
      <c r="BI706" s="25"/>
      <c r="BJ706" s="24"/>
      <c r="BK706" s="24"/>
      <c r="BL706" s="25"/>
      <c r="BM706" s="25"/>
      <c r="BN706" s="25"/>
    </row>
    <row r="707" spans="1:66" ht="13.5" customHeight="1" x14ac:dyDescent="0.2">
      <c r="A707" s="22"/>
      <c r="B707" s="23"/>
      <c r="C707" s="23"/>
      <c r="D707" s="24"/>
      <c r="E707" s="24"/>
      <c r="F707" s="24"/>
      <c r="G707" s="24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7"/>
      <c r="AN707" s="25"/>
      <c r="AO707" s="25"/>
      <c r="AP707" s="28"/>
      <c r="AQ707" s="25"/>
      <c r="AR707" s="25"/>
      <c r="AS707" s="28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F707" s="25"/>
      <c r="BG707" s="25"/>
      <c r="BH707" s="25"/>
      <c r="BI707" s="25"/>
      <c r="BJ707" s="24"/>
      <c r="BK707" s="24"/>
      <c r="BL707" s="25"/>
      <c r="BM707" s="25"/>
      <c r="BN707" s="25"/>
    </row>
    <row r="708" spans="1:66" ht="13.5" customHeight="1" x14ac:dyDescent="0.2">
      <c r="A708" s="22"/>
      <c r="B708" s="23"/>
      <c r="C708" s="23"/>
      <c r="D708" s="24"/>
      <c r="E708" s="24"/>
      <c r="F708" s="24"/>
      <c r="G708" s="24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7"/>
      <c r="AN708" s="25"/>
      <c r="AO708" s="25"/>
      <c r="AP708" s="28"/>
      <c r="AQ708" s="25"/>
      <c r="AR708" s="25"/>
      <c r="AS708" s="28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F708" s="25"/>
      <c r="BG708" s="25"/>
      <c r="BH708" s="25"/>
      <c r="BI708" s="25"/>
      <c r="BJ708" s="24"/>
      <c r="BK708" s="24"/>
      <c r="BL708" s="25"/>
      <c r="BM708" s="25"/>
      <c r="BN708" s="25"/>
    </row>
    <row r="709" spans="1:66" ht="13.5" customHeight="1" x14ac:dyDescent="0.2">
      <c r="A709" s="22"/>
      <c r="B709" s="23"/>
      <c r="C709" s="23"/>
      <c r="D709" s="24"/>
      <c r="E709" s="24"/>
      <c r="F709" s="24"/>
      <c r="G709" s="24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7"/>
      <c r="AN709" s="25"/>
      <c r="AO709" s="25"/>
      <c r="AP709" s="28"/>
      <c r="AQ709" s="25"/>
      <c r="AR709" s="25"/>
      <c r="AS709" s="28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F709" s="25"/>
      <c r="BG709" s="25"/>
      <c r="BH709" s="25"/>
      <c r="BI709" s="25"/>
      <c r="BJ709" s="24"/>
      <c r="BK709" s="24"/>
      <c r="BL709" s="25"/>
      <c r="BM709" s="25"/>
      <c r="BN709" s="25"/>
    </row>
    <row r="710" spans="1:66" ht="13.5" customHeight="1" x14ac:dyDescent="0.2">
      <c r="A710" s="22"/>
      <c r="B710" s="23"/>
      <c r="C710" s="23"/>
      <c r="D710" s="24"/>
      <c r="E710" s="24"/>
      <c r="F710" s="24"/>
      <c r="G710" s="24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7"/>
      <c r="AN710" s="25"/>
      <c r="AO710" s="25"/>
      <c r="AP710" s="28"/>
      <c r="AQ710" s="25"/>
      <c r="AR710" s="25"/>
      <c r="AS710" s="28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F710" s="25"/>
      <c r="BG710" s="25"/>
      <c r="BH710" s="25"/>
      <c r="BI710" s="25"/>
      <c r="BJ710" s="24"/>
      <c r="BK710" s="24"/>
      <c r="BL710" s="25"/>
      <c r="BM710" s="25"/>
      <c r="BN710" s="25"/>
    </row>
    <row r="711" spans="1:66" ht="13.5" customHeight="1" x14ac:dyDescent="0.2">
      <c r="A711" s="22"/>
      <c r="B711" s="23"/>
      <c r="C711" s="23"/>
      <c r="D711" s="24"/>
      <c r="E711" s="24"/>
      <c r="F711" s="24"/>
      <c r="G711" s="24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7"/>
      <c r="AN711" s="25"/>
      <c r="AO711" s="25"/>
      <c r="AP711" s="28"/>
      <c r="AQ711" s="25"/>
      <c r="AR711" s="25"/>
      <c r="AS711" s="28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F711" s="25"/>
      <c r="BG711" s="25"/>
      <c r="BH711" s="25"/>
      <c r="BI711" s="25"/>
      <c r="BJ711" s="24"/>
      <c r="BK711" s="24"/>
      <c r="BL711" s="25"/>
      <c r="BM711" s="25"/>
      <c r="BN711" s="25"/>
    </row>
    <row r="712" spans="1:66" ht="13.5" customHeight="1" x14ac:dyDescent="0.2">
      <c r="A712" s="22"/>
      <c r="B712" s="23"/>
      <c r="C712" s="23"/>
      <c r="D712" s="24"/>
      <c r="E712" s="24"/>
      <c r="F712" s="24"/>
      <c r="G712" s="24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7"/>
      <c r="AN712" s="25"/>
      <c r="AO712" s="25"/>
      <c r="AP712" s="28"/>
      <c r="AQ712" s="25"/>
      <c r="AR712" s="25"/>
      <c r="AS712" s="28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F712" s="25"/>
      <c r="BG712" s="25"/>
      <c r="BH712" s="25"/>
      <c r="BI712" s="25"/>
      <c r="BJ712" s="24"/>
      <c r="BK712" s="24"/>
      <c r="BL712" s="25"/>
      <c r="BM712" s="25"/>
      <c r="BN712" s="25"/>
    </row>
    <row r="713" spans="1:66" ht="13.5" customHeight="1" x14ac:dyDescent="0.2">
      <c r="A713" s="22"/>
      <c r="B713" s="23"/>
      <c r="C713" s="23"/>
      <c r="D713" s="24"/>
      <c r="E713" s="24"/>
      <c r="F713" s="24"/>
      <c r="G713" s="24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7"/>
      <c r="AN713" s="25"/>
      <c r="AO713" s="25"/>
      <c r="AP713" s="28"/>
      <c r="AQ713" s="25"/>
      <c r="AR713" s="25"/>
      <c r="AS713" s="28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F713" s="25"/>
      <c r="BG713" s="25"/>
      <c r="BH713" s="25"/>
      <c r="BI713" s="25"/>
      <c r="BJ713" s="24"/>
      <c r="BK713" s="24"/>
      <c r="BL713" s="25"/>
      <c r="BM713" s="25"/>
      <c r="BN713" s="25"/>
    </row>
    <row r="714" spans="1:66" ht="13.5" customHeight="1" x14ac:dyDescent="0.2">
      <c r="A714" s="22"/>
      <c r="B714" s="23"/>
      <c r="C714" s="23"/>
      <c r="D714" s="24"/>
      <c r="E714" s="24"/>
      <c r="F714" s="24"/>
      <c r="G714" s="24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7"/>
      <c r="AN714" s="25"/>
      <c r="AO714" s="25"/>
      <c r="AP714" s="28"/>
      <c r="AQ714" s="25"/>
      <c r="AR714" s="25"/>
      <c r="AS714" s="28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F714" s="25"/>
      <c r="BG714" s="25"/>
      <c r="BH714" s="25"/>
      <c r="BI714" s="25"/>
      <c r="BJ714" s="24"/>
      <c r="BK714" s="24"/>
      <c r="BL714" s="25"/>
      <c r="BM714" s="25"/>
      <c r="BN714" s="25"/>
    </row>
    <row r="715" spans="1:66" ht="13.5" customHeight="1" x14ac:dyDescent="0.2">
      <c r="A715" s="22"/>
      <c r="B715" s="23"/>
      <c r="C715" s="23"/>
      <c r="D715" s="24"/>
      <c r="E715" s="24"/>
      <c r="F715" s="24"/>
      <c r="G715" s="24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7"/>
      <c r="AN715" s="25"/>
      <c r="AO715" s="25"/>
      <c r="AP715" s="28"/>
      <c r="AQ715" s="25"/>
      <c r="AR715" s="25"/>
      <c r="AS715" s="28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F715" s="25"/>
      <c r="BG715" s="25"/>
      <c r="BH715" s="25"/>
      <c r="BI715" s="25"/>
      <c r="BJ715" s="24"/>
      <c r="BK715" s="24"/>
      <c r="BL715" s="25"/>
      <c r="BM715" s="25"/>
      <c r="BN715" s="25"/>
    </row>
    <row r="716" spans="1:66" ht="13.5" customHeight="1" x14ac:dyDescent="0.2">
      <c r="A716" s="22"/>
      <c r="B716" s="23"/>
      <c r="C716" s="23"/>
      <c r="D716" s="24"/>
      <c r="E716" s="24"/>
      <c r="F716" s="24"/>
      <c r="G716" s="24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7"/>
      <c r="AN716" s="25"/>
      <c r="AO716" s="25"/>
      <c r="AP716" s="28"/>
      <c r="AQ716" s="25"/>
      <c r="AR716" s="25"/>
      <c r="AS716" s="28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F716" s="25"/>
      <c r="BG716" s="25"/>
      <c r="BH716" s="25"/>
      <c r="BI716" s="25"/>
      <c r="BJ716" s="24"/>
      <c r="BK716" s="24"/>
      <c r="BL716" s="25"/>
      <c r="BM716" s="25"/>
      <c r="BN716" s="25"/>
    </row>
    <row r="717" spans="1:66" ht="13.5" customHeight="1" x14ac:dyDescent="0.2">
      <c r="A717" s="22"/>
      <c r="B717" s="23"/>
      <c r="C717" s="23"/>
      <c r="D717" s="24"/>
      <c r="E717" s="24"/>
      <c r="F717" s="24"/>
      <c r="G717" s="24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7"/>
      <c r="AN717" s="25"/>
      <c r="AO717" s="25"/>
      <c r="AP717" s="28"/>
      <c r="AQ717" s="25"/>
      <c r="AR717" s="25"/>
      <c r="AS717" s="28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F717" s="25"/>
      <c r="BG717" s="25"/>
      <c r="BH717" s="25"/>
      <c r="BI717" s="25"/>
      <c r="BJ717" s="24"/>
      <c r="BK717" s="24"/>
      <c r="BL717" s="25"/>
      <c r="BM717" s="25"/>
      <c r="BN717" s="25"/>
    </row>
    <row r="718" spans="1:66" ht="13.5" customHeight="1" x14ac:dyDescent="0.2">
      <c r="A718" s="22"/>
      <c r="B718" s="23"/>
      <c r="C718" s="23"/>
      <c r="D718" s="24"/>
      <c r="E718" s="24"/>
      <c r="F718" s="24"/>
      <c r="G718" s="24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7"/>
      <c r="AN718" s="25"/>
      <c r="AO718" s="25"/>
      <c r="AP718" s="28"/>
      <c r="AQ718" s="25"/>
      <c r="AR718" s="25"/>
      <c r="AS718" s="28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F718" s="25"/>
      <c r="BG718" s="25"/>
      <c r="BH718" s="25"/>
      <c r="BI718" s="25"/>
      <c r="BJ718" s="24"/>
      <c r="BK718" s="24"/>
      <c r="BL718" s="25"/>
      <c r="BM718" s="25"/>
      <c r="BN718" s="25"/>
    </row>
    <row r="719" spans="1:66" ht="13.5" customHeight="1" x14ac:dyDescent="0.2">
      <c r="A719" s="22"/>
      <c r="B719" s="23"/>
      <c r="C719" s="23"/>
      <c r="D719" s="24"/>
      <c r="E719" s="24"/>
      <c r="F719" s="24"/>
      <c r="G719" s="24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7"/>
      <c r="AN719" s="25"/>
      <c r="AO719" s="25"/>
      <c r="AP719" s="28"/>
      <c r="AQ719" s="25"/>
      <c r="AR719" s="25"/>
      <c r="AS719" s="28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F719" s="25"/>
      <c r="BG719" s="25"/>
      <c r="BH719" s="25"/>
      <c r="BI719" s="25"/>
      <c r="BJ719" s="24"/>
      <c r="BK719" s="24"/>
      <c r="BL719" s="25"/>
      <c r="BM719" s="25"/>
      <c r="BN719" s="25"/>
    </row>
    <row r="720" spans="1:66" ht="13.5" customHeight="1" x14ac:dyDescent="0.2">
      <c r="A720" s="22"/>
      <c r="B720" s="23"/>
      <c r="C720" s="23"/>
      <c r="D720" s="24"/>
      <c r="E720" s="24"/>
      <c r="F720" s="24"/>
      <c r="G720" s="24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7"/>
      <c r="AN720" s="25"/>
      <c r="AO720" s="25"/>
      <c r="AP720" s="28"/>
      <c r="AQ720" s="25"/>
      <c r="AR720" s="25"/>
      <c r="AS720" s="28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F720" s="25"/>
      <c r="BG720" s="25"/>
      <c r="BH720" s="25"/>
      <c r="BI720" s="25"/>
      <c r="BJ720" s="24"/>
      <c r="BK720" s="24"/>
      <c r="BL720" s="25"/>
      <c r="BM720" s="25"/>
      <c r="BN720" s="25"/>
    </row>
    <row r="721" spans="1:66" ht="13.5" customHeight="1" x14ac:dyDescent="0.2">
      <c r="A721" s="22"/>
      <c r="B721" s="23"/>
      <c r="C721" s="23"/>
      <c r="D721" s="24"/>
      <c r="E721" s="24"/>
      <c r="F721" s="24"/>
      <c r="G721" s="24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7"/>
      <c r="AN721" s="25"/>
      <c r="AO721" s="25"/>
      <c r="AP721" s="28"/>
      <c r="AQ721" s="25"/>
      <c r="AR721" s="25"/>
      <c r="AS721" s="28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F721" s="25"/>
      <c r="BG721" s="25"/>
      <c r="BH721" s="25"/>
      <c r="BI721" s="25"/>
      <c r="BJ721" s="24"/>
      <c r="BK721" s="24"/>
      <c r="BL721" s="25"/>
      <c r="BM721" s="25"/>
      <c r="BN721" s="25"/>
    </row>
    <row r="722" spans="1:66" ht="13.5" customHeight="1" x14ac:dyDescent="0.2">
      <c r="A722" s="22"/>
      <c r="B722" s="23"/>
      <c r="C722" s="23"/>
      <c r="D722" s="24"/>
      <c r="E722" s="24"/>
      <c r="F722" s="24"/>
      <c r="G722" s="24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7"/>
      <c r="AN722" s="25"/>
      <c r="AO722" s="25"/>
      <c r="AP722" s="28"/>
      <c r="AQ722" s="25"/>
      <c r="AR722" s="25"/>
      <c r="AS722" s="28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F722" s="25"/>
      <c r="BG722" s="25"/>
      <c r="BH722" s="25"/>
      <c r="BI722" s="25"/>
      <c r="BJ722" s="24"/>
      <c r="BK722" s="24"/>
      <c r="BL722" s="25"/>
      <c r="BM722" s="25"/>
      <c r="BN722" s="25"/>
    </row>
    <row r="723" spans="1:66" ht="13.5" customHeight="1" x14ac:dyDescent="0.2">
      <c r="A723" s="22"/>
      <c r="B723" s="23"/>
      <c r="C723" s="23"/>
      <c r="D723" s="24"/>
      <c r="E723" s="24"/>
      <c r="F723" s="24"/>
      <c r="G723" s="24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7"/>
      <c r="AN723" s="25"/>
      <c r="AO723" s="25"/>
      <c r="AP723" s="28"/>
      <c r="AQ723" s="25"/>
      <c r="AR723" s="25"/>
      <c r="AS723" s="28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F723" s="25"/>
      <c r="BG723" s="25"/>
      <c r="BH723" s="25"/>
      <c r="BI723" s="25"/>
      <c r="BJ723" s="24"/>
      <c r="BK723" s="24"/>
      <c r="BL723" s="25"/>
      <c r="BM723" s="25"/>
      <c r="BN723" s="25"/>
    </row>
    <row r="724" spans="1:66" ht="13.5" customHeight="1" x14ac:dyDescent="0.2">
      <c r="A724" s="22"/>
      <c r="B724" s="23"/>
      <c r="C724" s="23"/>
      <c r="D724" s="24"/>
      <c r="E724" s="24"/>
      <c r="F724" s="24"/>
      <c r="G724" s="24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7"/>
      <c r="AN724" s="25"/>
      <c r="AO724" s="25"/>
      <c r="AP724" s="28"/>
      <c r="AQ724" s="25"/>
      <c r="AR724" s="25"/>
      <c r="AS724" s="28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F724" s="25"/>
      <c r="BG724" s="25"/>
      <c r="BH724" s="25"/>
      <c r="BI724" s="25"/>
      <c r="BJ724" s="24"/>
      <c r="BK724" s="24"/>
      <c r="BL724" s="25"/>
      <c r="BM724" s="25"/>
      <c r="BN724" s="25"/>
    </row>
    <row r="725" spans="1:66" ht="13.5" customHeight="1" x14ac:dyDescent="0.2">
      <c r="A725" s="22"/>
      <c r="B725" s="23"/>
      <c r="C725" s="23"/>
      <c r="D725" s="24"/>
      <c r="E725" s="24"/>
      <c r="F725" s="24"/>
      <c r="G725" s="24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7"/>
      <c r="AN725" s="25"/>
      <c r="AO725" s="25"/>
      <c r="AP725" s="28"/>
      <c r="AQ725" s="25"/>
      <c r="AR725" s="25"/>
      <c r="AS725" s="28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F725" s="25"/>
      <c r="BG725" s="25"/>
      <c r="BH725" s="25"/>
      <c r="BI725" s="25"/>
      <c r="BJ725" s="24"/>
      <c r="BK725" s="24"/>
      <c r="BL725" s="25"/>
      <c r="BM725" s="25"/>
      <c r="BN725" s="25"/>
    </row>
    <row r="726" spans="1:66" ht="13.5" customHeight="1" x14ac:dyDescent="0.2">
      <c r="A726" s="22"/>
      <c r="B726" s="23"/>
      <c r="C726" s="23"/>
      <c r="D726" s="24"/>
      <c r="E726" s="24"/>
      <c r="F726" s="24"/>
      <c r="G726" s="24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7"/>
      <c r="AN726" s="25"/>
      <c r="AO726" s="25"/>
      <c r="AP726" s="28"/>
      <c r="AQ726" s="25"/>
      <c r="AR726" s="25"/>
      <c r="AS726" s="28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F726" s="25"/>
      <c r="BG726" s="25"/>
      <c r="BH726" s="25"/>
      <c r="BI726" s="25"/>
      <c r="BJ726" s="24"/>
      <c r="BK726" s="24"/>
      <c r="BL726" s="25"/>
      <c r="BM726" s="25"/>
      <c r="BN726" s="25"/>
    </row>
    <row r="727" spans="1:66" ht="13.5" customHeight="1" x14ac:dyDescent="0.2">
      <c r="A727" s="22"/>
      <c r="B727" s="23"/>
      <c r="C727" s="23"/>
      <c r="D727" s="24"/>
      <c r="E727" s="24"/>
      <c r="F727" s="24"/>
      <c r="G727" s="24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7"/>
      <c r="AN727" s="25"/>
      <c r="AO727" s="25"/>
      <c r="AP727" s="28"/>
      <c r="AQ727" s="25"/>
      <c r="AR727" s="25"/>
      <c r="AS727" s="28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F727" s="25"/>
      <c r="BG727" s="25"/>
      <c r="BH727" s="25"/>
      <c r="BI727" s="25"/>
      <c r="BJ727" s="24"/>
      <c r="BK727" s="24"/>
      <c r="BL727" s="25"/>
      <c r="BM727" s="25"/>
      <c r="BN727" s="25"/>
    </row>
    <row r="728" spans="1:66" ht="13.5" customHeight="1" x14ac:dyDescent="0.2">
      <c r="A728" s="22"/>
      <c r="B728" s="23"/>
      <c r="C728" s="23"/>
      <c r="D728" s="24"/>
      <c r="E728" s="24"/>
      <c r="F728" s="24"/>
      <c r="G728" s="24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7"/>
      <c r="AN728" s="25"/>
      <c r="AO728" s="25"/>
      <c r="AP728" s="28"/>
      <c r="AQ728" s="25"/>
      <c r="AR728" s="25"/>
      <c r="AS728" s="28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F728" s="25"/>
      <c r="BG728" s="25"/>
      <c r="BH728" s="25"/>
      <c r="BI728" s="25"/>
      <c r="BJ728" s="24"/>
      <c r="BK728" s="24"/>
      <c r="BL728" s="25"/>
      <c r="BM728" s="25"/>
      <c r="BN728" s="25"/>
    </row>
    <row r="729" spans="1:66" ht="13.5" customHeight="1" x14ac:dyDescent="0.2">
      <c r="A729" s="22"/>
      <c r="B729" s="23"/>
      <c r="C729" s="23"/>
      <c r="D729" s="24"/>
      <c r="E729" s="24"/>
      <c r="F729" s="24"/>
      <c r="G729" s="24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7"/>
      <c r="AN729" s="25"/>
      <c r="AO729" s="25"/>
      <c r="AP729" s="28"/>
      <c r="AQ729" s="25"/>
      <c r="AR729" s="25"/>
      <c r="AS729" s="28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F729" s="25"/>
      <c r="BG729" s="25"/>
      <c r="BH729" s="25"/>
      <c r="BI729" s="25"/>
      <c r="BJ729" s="24"/>
      <c r="BK729" s="24"/>
      <c r="BL729" s="25"/>
      <c r="BM729" s="25"/>
      <c r="BN729" s="25"/>
    </row>
    <row r="730" spans="1:66" ht="13.5" customHeight="1" x14ac:dyDescent="0.2">
      <c r="A730" s="22"/>
      <c r="B730" s="23"/>
      <c r="C730" s="23"/>
      <c r="D730" s="24"/>
      <c r="E730" s="24"/>
      <c r="F730" s="24"/>
      <c r="G730" s="24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7"/>
      <c r="AN730" s="25"/>
      <c r="AO730" s="25"/>
      <c r="AP730" s="28"/>
      <c r="AQ730" s="25"/>
      <c r="AR730" s="25"/>
      <c r="AS730" s="28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F730" s="25"/>
      <c r="BG730" s="25"/>
      <c r="BH730" s="25"/>
      <c r="BI730" s="25"/>
      <c r="BJ730" s="24"/>
      <c r="BK730" s="24"/>
      <c r="BL730" s="25"/>
      <c r="BM730" s="25"/>
      <c r="BN730" s="25"/>
    </row>
    <row r="731" spans="1:66" ht="13.5" customHeight="1" x14ac:dyDescent="0.2">
      <c r="A731" s="22"/>
      <c r="B731" s="23"/>
      <c r="C731" s="23"/>
      <c r="D731" s="24"/>
      <c r="E731" s="24"/>
      <c r="F731" s="24"/>
      <c r="G731" s="24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7"/>
      <c r="AN731" s="25"/>
      <c r="AO731" s="25"/>
      <c r="AP731" s="28"/>
      <c r="AQ731" s="25"/>
      <c r="AR731" s="25"/>
      <c r="AS731" s="28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F731" s="25"/>
      <c r="BG731" s="25"/>
      <c r="BH731" s="25"/>
      <c r="BI731" s="25"/>
      <c r="BJ731" s="24"/>
      <c r="BK731" s="24"/>
      <c r="BL731" s="25"/>
      <c r="BM731" s="25"/>
      <c r="BN731" s="25"/>
    </row>
    <row r="732" spans="1:66" ht="13.5" customHeight="1" x14ac:dyDescent="0.2">
      <c r="A732" s="22"/>
      <c r="B732" s="23"/>
      <c r="C732" s="23"/>
      <c r="D732" s="24"/>
      <c r="E732" s="24"/>
      <c r="F732" s="24"/>
      <c r="G732" s="24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7"/>
      <c r="AN732" s="25"/>
      <c r="AO732" s="25"/>
      <c r="AP732" s="28"/>
      <c r="AQ732" s="25"/>
      <c r="AR732" s="25"/>
      <c r="AS732" s="28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F732" s="25"/>
      <c r="BG732" s="25"/>
      <c r="BH732" s="25"/>
      <c r="BI732" s="25"/>
      <c r="BJ732" s="24"/>
      <c r="BK732" s="24"/>
      <c r="BL732" s="25"/>
      <c r="BM732" s="25"/>
      <c r="BN732" s="25"/>
    </row>
    <row r="733" spans="1:66" ht="13.5" customHeight="1" x14ac:dyDescent="0.2">
      <c r="A733" s="22"/>
      <c r="B733" s="23"/>
      <c r="C733" s="23"/>
      <c r="D733" s="24"/>
      <c r="E733" s="24"/>
      <c r="F733" s="24"/>
      <c r="G733" s="24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7"/>
      <c r="AN733" s="25"/>
      <c r="AO733" s="25"/>
      <c r="AP733" s="28"/>
      <c r="AQ733" s="25"/>
      <c r="AR733" s="25"/>
      <c r="AS733" s="28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F733" s="25"/>
      <c r="BG733" s="25"/>
      <c r="BH733" s="25"/>
      <c r="BI733" s="25"/>
      <c r="BJ733" s="24"/>
      <c r="BK733" s="24"/>
      <c r="BL733" s="25"/>
      <c r="BM733" s="25"/>
      <c r="BN733" s="25"/>
    </row>
    <row r="734" spans="1:66" ht="13.5" customHeight="1" x14ac:dyDescent="0.2">
      <c r="A734" s="22"/>
      <c r="B734" s="23"/>
      <c r="C734" s="23"/>
      <c r="D734" s="24"/>
      <c r="E734" s="24"/>
      <c r="F734" s="24"/>
      <c r="G734" s="24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7"/>
      <c r="AN734" s="25"/>
      <c r="AO734" s="25"/>
      <c r="AP734" s="28"/>
      <c r="AQ734" s="25"/>
      <c r="AR734" s="25"/>
      <c r="AS734" s="28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F734" s="25"/>
      <c r="BG734" s="25"/>
      <c r="BH734" s="25"/>
      <c r="BI734" s="25"/>
      <c r="BJ734" s="24"/>
      <c r="BK734" s="24"/>
      <c r="BL734" s="25"/>
      <c r="BM734" s="25"/>
      <c r="BN734" s="25"/>
    </row>
    <row r="735" spans="1:66" ht="13.5" customHeight="1" x14ac:dyDescent="0.2">
      <c r="A735" s="22"/>
      <c r="B735" s="23"/>
      <c r="C735" s="23"/>
      <c r="D735" s="24"/>
      <c r="E735" s="24"/>
      <c r="F735" s="24"/>
      <c r="G735" s="24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7"/>
      <c r="AN735" s="25"/>
      <c r="AO735" s="25"/>
      <c r="AP735" s="28"/>
      <c r="AQ735" s="25"/>
      <c r="AR735" s="25"/>
      <c r="AS735" s="28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F735" s="25"/>
      <c r="BG735" s="25"/>
      <c r="BH735" s="25"/>
      <c r="BI735" s="25"/>
      <c r="BJ735" s="24"/>
      <c r="BK735" s="24"/>
      <c r="BL735" s="25"/>
      <c r="BM735" s="25"/>
      <c r="BN735" s="25"/>
    </row>
    <row r="736" spans="1:66" ht="13.5" customHeight="1" x14ac:dyDescent="0.2">
      <c r="A736" s="22"/>
      <c r="B736" s="23"/>
      <c r="C736" s="23"/>
      <c r="D736" s="24"/>
      <c r="E736" s="24"/>
      <c r="F736" s="24"/>
      <c r="G736" s="24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7"/>
      <c r="AN736" s="25"/>
      <c r="AO736" s="25"/>
      <c r="AP736" s="28"/>
      <c r="AQ736" s="25"/>
      <c r="AR736" s="25"/>
      <c r="AS736" s="28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F736" s="25"/>
      <c r="BG736" s="25"/>
      <c r="BH736" s="25"/>
      <c r="BI736" s="25"/>
      <c r="BJ736" s="24"/>
      <c r="BK736" s="24"/>
      <c r="BL736" s="25"/>
      <c r="BM736" s="25"/>
      <c r="BN736" s="25"/>
    </row>
    <row r="737" spans="1:66" ht="13.5" customHeight="1" x14ac:dyDescent="0.2">
      <c r="A737" s="22"/>
      <c r="B737" s="23"/>
      <c r="C737" s="23"/>
      <c r="D737" s="24"/>
      <c r="E737" s="24"/>
      <c r="F737" s="24"/>
      <c r="G737" s="24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7"/>
      <c r="AN737" s="25"/>
      <c r="AO737" s="25"/>
      <c r="AP737" s="28"/>
      <c r="AQ737" s="25"/>
      <c r="AR737" s="25"/>
      <c r="AS737" s="28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F737" s="25"/>
      <c r="BG737" s="25"/>
      <c r="BH737" s="25"/>
      <c r="BI737" s="25"/>
      <c r="BJ737" s="24"/>
      <c r="BK737" s="24"/>
      <c r="BL737" s="25"/>
      <c r="BM737" s="25"/>
      <c r="BN737" s="25"/>
    </row>
    <row r="738" spans="1:66" ht="13.5" customHeight="1" x14ac:dyDescent="0.2">
      <c r="A738" s="22"/>
      <c r="B738" s="23"/>
      <c r="C738" s="23"/>
      <c r="D738" s="24"/>
      <c r="E738" s="24"/>
      <c r="F738" s="24"/>
      <c r="G738" s="24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7"/>
      <c r="AN738" s="25"/>
      <c r="AO738" s="25"/>
      <c r="AP738" s="28"/>
      <c r="AQ738" s="25"/>
      <c r="AR738" s="25"/>
      <c r="AS738" s="28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F738" s="25"/>
      <c r="BG738" s="25"/>
      <c r="BH738" s="25"/>
      <c r="BI738" s="25"/>
      <c r="BJ738" s="24"/>
      <c r="BK738" s="24"/>
      <c r="BL738" s="25"/>
      <c r="BM738" s="25"/>
      <c r="BN738" s="25"/>
    </row>
    <row r="739" spans="1:66" ht="13.5" customHeight="1" x14ac:dyDescent="0.2">
      <c r="A739" s="22"/>
      <c r="B739" s="23"/>
      <c r="C739" s="23"/>
      <c r="D739" s="24"/>
      <c r="E739" s="24"/>
      <c r="F739" s="24"/>
      <c r="G739" s="24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7"/>
      <c r="AN739" s="25"/>
      <c r="AO739" s="25"/>
      <c r="AP739" s="28"/>
      <c r="AQ739" s="25"/>
      <c r="AR739" s="25"/>
      <c r="AS739" s="28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F739" s="25"/>
      <c r="BG739" s="25"/>
      <c r="BH739" s="25"/>
      <c r="BI739" s="25"/>
      <c r="BJ739" s="24"/>
      <c r="BK739" s="24"/>
      <c r="BL739" s="25"/>
      <c r="BM739" s="25"/>
      <c r="BN739" s="25"/>
    </row>
    <row r="740" spans="1:66" ht="13.5" customHeight="1" x14ac:dyDescent="0.2">
      <c r="A740" s="22"/>
      <c r="B740" s="23"/>
      <c r="C740" s="23"/>
      <c r="D740" s="24"/>
      <c r="E740" s="24"/>
      <c r="F740" s="24"/>
      <c r="G740" s="24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7"/>
      <c r="AN740" s="25"/>
      <c r="AO740" s="25"/>
      <c r="AP740" s="28"/>
      <c r="AQ740" s="25"/>
      <c r="AR740" s="25"/>
      <c r="AS740" s="28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F740" s="25"/>
      <c r="BG740" s="25"/>
      <c r="BH740" s="25"/>
      <c r="BI740" s="25"/>
      <c r="BJ740" s="24"/>
      <c r="BK740" s="24"/>
      <c r="BL740" s="25"/>
      <c r="BM740" s="25"/>
      <c r="BN740" s="25"/>
    </row>
    <row r="741" spans="1:66" ht="13.5" customHeight="1" x14ac:dyDescent="0.2">
      <c r="A741" s="22"/>
      <c r="B741" s="23"/>
      <c r="C741" s="23"/>
      <c r="D741" s="24"/>
      <c r="E741" s="24"/>
      <c r="F741" s="24"/>
      <c r="G741" s="24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7"/>
      <c r="AN741" s="25"/>
      <c r="AO741" s="25"/>
      <c r="AP741" s="28"/>
      <c r="AQ741" s="25"/>
      <c r="AR741" s="25"/>
      <c r="AS741" s="28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F741" s="25"/>
      <c r="BG741" s="25"/>
      <c r="BH741" s="25"/>
      <c r="BI741" s="25"/>
      <c r="BJ741" s="24"/>
      <c r="BK741" s="24"/>
      <c r="BL741" s="25"/>
      <c r="BM741" s="25"/>
      <c r="BN741" s="25"/>
    </row>
    <row r="742" spans="1:66" ht="13.5" customHeight="1" x14ac:dyDescent="0.2">
      <c r="A742" s="22"/>
      <c r="B742" s="23"/>
      <c r="C742" s="23"/>
      <c r="D742" s="24"/>
      <c r="E742" s="24"/>
      <c r="F742" s="24"/>
      <c r="G742" s="24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7"/>
      <c r="AN742" s="25"/>
      <c r="AO742" s="25"/>
      <c r="AP742" s="28"/>
      <c r="AQ742" s="25"/>
      <c r="AR742" s="25"/>
      <c r="AS742" s="28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F742" s="25"/>
      <c r="BG742" s="25"/>
      <c r="BH742" s="25"/>
      <c r="BI742" s="25"/>
      <c r="BJ742" s="24"/>
      <c r="BK742" s="24"/>
      <c r="BL742" s="25"/>
      <c r="BM742" s="25"/>
      <c r="BN742" s="25"/>
    </row>
    <row r="743" spans="1:66" ht="13.5" customHeight="1" x14ac:dyDescent="0.2">
      <c r="A743" s="22"/>
      <c r="B743" s="23"/>
      <c r="C743" s="23"/>
      <c r="D743" s="24"/>
      <c r="E743" s="24"/>
      <c r="F743" s="24"/>
      <c r="G743" s="24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7"/>
      <c r="AN743" s="25"/>
      <c r="AO743" s="25"/>
      <c r="AP743" s="28"/>
      <c r="AQ743" s="25"/>
      <c r="AR743" s="25"/>
      <c r="AS743" s="28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F743" s="25"/>
      <c r="BG743" s="25"/>
      <c r="BH743" s="25"/>
      <c r="BI743" s="25"/>
      <c r="BJ743" s="24"/>
      <c r="BK743" s="24"/>
      <c r="BL743" s="25"/>
      <c r="BM743" s="25"/>
      <c r="BN743" s="25"/>
    </row>
    <row r="744" spans="1:66" ht="13.5" customHeight="1" x14ac:dyDescent="0.2">
      <c r="A744" s="22"/>
      <c r="B744" s="23"/>
      <c r="C744" s="23"/>
      <c r="D744" s="24"/>
      <c r="E744" s="24"/>
      <c r="F744" s="24"/>
      <c r="G744" s="24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7"/>
      <c r="AN744" s="25"/>
      <c r="AO744" s="25"/>
      <c r="AP744" s="28"/>
      <c r="AQ744" s="25"/>
      <c r="AR744" s="25"/>
      <c r="AS744" s="28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F744" s="25"/>
      <c r="BG744" s="25"/>
      <c r="BH744" s="25"/>
      <c r="BI744" s="25"/>
      <c r="BJ744" s="24"/>
      <c r="BK744" s="24"/>
      <c r="BL744" s="25"/>
      <c r="BM744" s="25"/>
      <c r="BN744" s="25"/>
    </row>
    <row r="745" spans="1:66" ht="13.5" customHeight="1" x14ac:dyDescent="0.2">
      <c r="A745" s="22"/>
      <c r="B745" s="23"/>
      <c r="C745" s="23"/>
      <c r="D745" s="24"/>
      <c r="E745" s="24"/>
      <c r="F745" s="24"/>
      <c r="G745" s="24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7"/>
      <c r="AN745" s="25"/>
      <c r="AO745" s="25"/>
      <c r="AP745" s="28"/>
      <c r="AQ745" s="25"/>
      <c r="AR745" s="25"/>
      <c r="AS745" s="28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F745" s="25"/>
      <c r="BG745" s="25"/>
      <c r="BH745" s="25"/>
      <c r="BI745" s="25"/>
      <c r="BJ745" s="24"/>
      <c r="BK745" s="24"/>
      <c r="BL745" s="25"/>
      <c r="BM745" s="25"/>
      <c r="BN745" s="25"/>
    </row>
    <row r="746" spans="1:66" ht="13.5" customHeight="1" x14ac:dyDescent="0.2">
      <c r="A746" s="22"/>
      <c r="B746" s="23"/>
      <c r="C746" s="23"/>
      <c r="D746" s="24"/>
      <c r="E746" s="24"/>
      <c r="F746" s="24"/>
      <c r="G746" s="24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7"/>
      <c r="AN746" s="25"/>
      <c r="AO746" s="25"/>
      <c r="AP746" s="28"/>
      <c r="AQ746" s="25"/>
      <c r="AR746" s="25"/>
      <c r="AS746" s="28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F746" s="25"/>
      <c r="BG746" s="25"/>
      <c r="BH746" s="25"/>
      <c r="BI746" s="25"/>
      <c r="BJ746" s="24"/>
      <c r="BK746" s="24"/>
      <c r="BL746" s="25"/>
      <c r="BM746" s="25"/>
      <c r="BN746" s="25"/>
    </row>
    <row r="747" spans="1:66" ht="13.5" customHeight="1" x14ac:dyDescent="0.2">
      <c r="A747" s="22"/>
      <c r="B747" s="23"/>
      <c r="C747" s="23"/>
      <c r="D747" s="24"/>
      <c r="E747" s="24"/>
      <c r="F747" s="24"/>
      <c r="G747" s="24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7"/>
      <c r="AN747" s="25"/>
      <c r="AO747" s="25"/>
      <c r="AP747" s="28"/>
      <c r="AQ747" s="25"/>
      <c r="AR747" s="25"/>
      <c r="AS747" s="28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F747" s="25"/>
      <c r="BG747" s="25"/>
      <c r="BH747" s="25"/>
      <c r="BI747" s="25"/>
      <c r="BJ747" s="24"/>
      <c r="BK747" s="24"/>
      <c r="BL747" s="25"/>
      <c r="BM747" s="25"/>
      <c r="BN747" s="25"/>
    </row>
    <row r="748" spans="1:66" ht="13.5" customHeight="1" x14ac:dyDescent="0.2">
      <c r="A748" s="22"/>
      <c r="B748" s="23"/>
      <c r="C748" s="23"/>
      <c r="D748" s="24"/>
      <c r="E748" s="24"/>
      <c r="F748" s="24"/>
      <c r="G748" s="24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7"/>
      <c r="AN748" s="25"/>
      <c r="AO748" s="25"/>
      <c r="AP748" s="28"/>
      <c r="AQ748" s="25"/>
      <c r="AR748" s="25"/>
      <c r="AS748" s="28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F748" s="25"/>
      <c r="BG748" s="25"/>
      <c r="BH748" s="25"/>
      <c r="BI748" s="25"/>
      <c r="BJ748" s="24"/>
      <c r="BK748" s="24"/>
      <c r="BL748" s="25"/>
      <c r="BM748" s="25"/>
      <c r="BN748" s="25"/>
    </row>
    <row r="749" spans="1:66" ht="13.5" customHeight="1" x14ac:dyDescent="0.2">
      <c r="A749" s="22"/>
      <c r="B749" s="23"/>
      <c r="C749" s="23"/>
      <c r="D749" s="24"/>
      <c r="E749" s="24"/>
      <c r="F749" s="24"/>
      <c r="G749" s="24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7"/>
      <c r="AN749" s="25"/>
      <c r="AO749" s="25"/>
      <c r="AP749" s="28"/>
      <c r="AQ749" s="25"/>
      <c r="AR749" s="25"/>
      <c r="AS749" s="28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F749" s="25"/>
      <c r="BG749" s="25"/>
      <c r="BH749" s="25"/>
      <c r="BI749" s="25"/>
      <c r="BJ749" s="24"/>
      <c r="BK749" s="24"/>
      <c r="BL749" s="25"/>
      <c r="BM749" s="25"/>
      <c r="BN749" s="25"/>
    </row>
    <row r="750" spans="1:66" ht="13.5" customHeight="1" x14ac:dyDescent="0.2">
      <c r="A750" s="22"/>
      <c r="B750" s="23"/>
      <c r="C750" s="23"/>
      <c r="D750" s="24"/>
      <c r="E750" s="24"/>
      <c r="F750" s="24"/>
      <c r="G750" s="24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7"/>
      <c r="AN750" s="25"/>
      <c r="AO750" s="25"/>
      <c r="AP750" s="28"/>
      <c r="AQ750" s="25"/>
      <c r="AR750" s="25"/>
      <c r="AS750" s="28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F750" s="25"/>
      <c r="BG750" s="25"/>
      <c r="BH750" s="25"/>
      <c r="BI750" s="25"/>
      <c r="BJ750" s="24"/>
      <c r="BK750" s="24"/>
      <c r="BL750" s="25"/>
      <c r="BM750" s="25"/>
      <c r="BN750" s="25"/>
    </row>
    <row r="751" spans="1:66" ht="13.5" customHeight="1" x14ac:dyDescent="0.2">
      <c r="A751" s="22"/>
      <c r="B751" s="23"/>
      <c r="C751" s="23"/>
      <c r="D751" s="24"/>
      <c r="E751" s="24"/>
      <c r="F751" s="24"/>
      <c r="G751" s="24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7"/>
      <c r="AN751" s="25"/>
      <c r="AO751" s="25"/>
      <c r="AP751" s="28"/>
      <c r="AQ751" s="25"/>
      <c r="AR751" s="25"/>
      <c r="AS751" s="28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F751" s="25"/>
      <c r="BG751" s="25"/>
      <c r="BH751" s="25"/>
      <c r="BI751" s="25"/>
      <c r="BJ751" s="24"/>
      <c r="BK751" s="24"/>
      <c r="BL751" s="25"/>
      <c r="BM751" s="25"/>
      <c r="BN751" s="25"/>
    </row>
    <row r="752" spans="1:66" ht="13.5" customHeight="1" x14ac:dyDescent="0.2">
      <c r="A752" s="22"/>
      <c r="B752" s="23"/>
      <c r="C752" s="23"/>
      <c r="D752" s="24"/>
      <c r="E752" s="24"/>
      <c r="F752" s="24"/>
      <c r="G752" s="24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7"/>
      <c r="AN752" s="25"/>
      <c r="AO752" s="25"/>
      <c r="AP752" s="28"/>
      <c r="AQ752" s="25"/>
      <c r="AR752" s="25"/>
      <c r="AS752" s="28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F752" s="25"/>
      <c r="BG752" s="25"/>
      <c r="BH752" s="25"/>
      <c r="BI752" s="25"/>
      <c r="BJ752" s="24"/>
      <c r="BK752" s="24"/>
      <c r="BL752" s="25"/>
      <c r="BM752" s="25"/>
      <c r="BN752" s="25"/>
    </row>
    <row r="753" spans="1:66" ht="13.5" customHeight="1" x14ac:dyDescent="0.2">
      <c r="A753" s="22"/>
      <c r="B753" s="23"/>
      <c r="C753" s="23"/>
      <c r="D753" s="24"/>
      <c r="E753" s="24"/>
      <c r="F753" s="24"/>
      <c r="G753" s="24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7"/>
      <c r="AN753" s="25"/>
      <c r="AO753" s="25"/>
      <c r="AP753" s="28"/>
      <c r="AQ753" s="25"/>
      <c r="AR753" s="25"/>
      <c r="AS753" s="28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F753" s="25"/>
      <c r="BG753" s="25"/>
      <c r="BH753" s="25"/>
      <c r="BI753" s="25"/>
      <c r="BJ753" s="24"/>
      <c r="BK753" s="24"/>
      <c r="BL753" s="25"/>
      <c r="BM753" s="25"/>
      <c r="BN753" s="25"/>
    </row>
    <row r="754" spans="1:66" ht="13.5" customHeight="1" x14ac:dyDescent="0.2">
      <c r="A754" s="22"/>
      <c r="B754" s="23"/>
      <c r="C754" s="23"/>
      <c r="D754" s="24"/>
      <c r="E754" s="24"/>
      <c r="F754" s="24"/>
      <c r="G754" s="24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7"/>
      <c r="AN754" s="25"/>
      <c r="AO754" s="25"/>
      <c r="AP754" s="28"/>
      <c r="AQ754" s="25"/>
      <c r="AR754" s="25"/>
      <c r="AS754" s="28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F754" s="25"/>
      <c r="BG754" s="25"/>
      <c r="BH754" s="25"/>
      <c r="BI754" s="25"/>
      <c r="BJ754" s="24"/>
      <c r="BK754" s="24"/>
      <c r="BL754" s="25"/>
      <c r="BM754" s="25"/>
      <c r="BN754" s="25"/>
    </row>
    <row r="755" spans="1:66" ht="13.5" customHeight="1" x14ac:dyDescent="0.2">
      <c r="A755" s="22"/>
      <c r="B755" s="23"/>
      <c r="C755" s="23"/>
      <c r="D755" s="24"/>
      <c r="E755" s="24"/>
      <c r="F755" s="24"/>
      <c r="G755" s="24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7"/>
      <c r="AN755" s="25"/>
      <c r="AO755" s="25"/>
      <c r="AP755" s="28"/>
      <c r="AQ755" s="25"/>
      <c r="AR755" s="25"/>
      <c r="AS755" s="28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F755" s="25"/>
      <c r="BG755" s="25"/>
      <c r="BH755" s="25"/>
      <c r="BI755" s="25"/>
      <c r="BJ755" s="24"/>
      <c r="BK755" s="24"/>
      <c r="BL755" s="25"/>
      <c r="BM755" s="25"/>
      <c r="BN755" s="25"/>
    </row>
    <row r="756" spans="1:66" ht="13.5" customHeight="1" x14ac:dyDescent="0.2">
      <c r="A756" s="22"/>
      <c r="B756" s="23"/>
      <c r="C756" s="23"/>
      <c r="D756" s="24"/>
      <c r="E756" s="24"/>
      <c r="F756" s="24"/>
      <c r="G756" s="24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7"/>
      <c r="AN756" s="25"/>
      <c r="AO756" s="25"/>
      <c r="AP756" s="28"/>
      <c r="AQ756" s="25"/>
      <c r="AR756" s="25"/>
      <c r="AS756" s="28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F756" s="25"/>
      <c r="BG756" s="25"/>
      <c r="BH756" s="25"/>
      <c r="BI756" s="25"/>
      <c r="BJ756" s="24"/>
      <c r="BK756" s="24"/>
      <c r="BL756" s="25"/>
      <c r="BM756" s="25"/>
      <c r="BN756" s="25"/>
    </row>
    <row r="757" spans="1:66" ht="13.5" customHeight="1" x14ac:dyDescent="0.2">
      <c r="A757" s="22"/>
      <c r="B757" s="23"/>
      <c r="C757" s="23"/>
      <c r="D757" s="24"/>
      <c r="E757" s="24"/>
      <c r="F757" s="24"/>
      <c r="G757" s="24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7"/>
      <c r="AN757" s="25"/>
      <c r="AO757" s="25"/>
      <c r="AP757" s="28"/>
      <c r="AQ757" s="25"/>
      <c r="AR757" s="25"/>
      <c r="AS757" s="28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F757" s="25"/>
      <c r="BG757" s="25"/>
      <c r="BH757" s="25"/>
      <c r="BI757" s="25"/>
      <c r="BJ757" s="24"/>
      <c r="BK757" s="24"/>
      <c r="BL757" s="25"/>
      <c r="BM757" s="25"/>
      <c r="BN757" s="25"/>
    </row>
    <row r="758" spans="1:66" ht="13.5" customHeight="1" x14ac:dyDescent="0.2">
      <c r="A758" s="22"/>
      <c r="B758" s="23"/>
      <c r="C758" s="23"/>
      <c r="D758" s="24"/>
      <c r="E758" s="24"/>
      <c r="F758" s="24"/>
      <c r="G758" s="24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7"/>
      <c r="AN758" s="25"/>
      <c r="AO758" s="25"/>
      <c r="AP758" s="28"/>
      <c r="AQ758" s="25"/>
      <c r="AR758" s="25"/>
      <c r="AS758" s="28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F758" s="25"/>
      <c r="BG758" s="25"/>
      <c r="BH758" s="25"/>
      <c r="BI758" s="25"/>
      <c r="BJ758" s="24"/>
      <c r="BK758" s="24"/>
      <c r="BL758" s="25"/>
      <c r="BM758" s="25"/>
      <c r="BN758" s="25"/>
    </row>
    <row r="759" spans="1:66" ht="13.5" customHeight="1" x14ac:dyDescent="0.2">
      <c r="A759" s="22"/>
      <c r="B759" s="23"/>
      <c r="C759" s="23"/>
      <c r="D759" s="24"/>
      <c r="E759" s="24"/>
      <c r="F759" s="24"/>
      <c r="G759" s="24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7"/>
      <c r="AN759" s="25"/>
      <c r="AO759" s="25"/>
      <c r="AP759" s="28"/>
      <c r="AQ759" s="25"/>
      <c r="AR759" s="25"/>
      <c r="AS759" s="28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F759" s="25"/>
      <c r="BG759" s="25"/>
      <c r="BH759" s="25"/>
      <c r="BI759" s="25"/>
      <c r="BJ759" s="24"/>
      <c r="BK759" s="24"/>
      <c r="BL759" s="25"/>
      <c r="BM759" s="25"/>
      <c r="BN759" s="25"/>
    </row>
    <row r="760" spans="1:66" ht="13.5" customHeight="1" x14ac:dyDescent="0.2">
      <c r="A760" s="22"/>
      <c r="B760" s="23"/>
      <c r="C760" s="23"/>
      <c r="D760" s="24"/>
      <c r="E760" s="24"/>
      <c r="F760" s="24"/>
      <c r="G760" s="24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7"/>
      <c r="AN760" s="25"/>
      <c r="AO760" s="25"/>
      <c r="AP760" s="28"/>
      <c r="AQ760" s="25"/>
      <c r="AR760" s="25"/>
      <c r="AS760" s="28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F760" s="25"/>
      <c r="BG760" s="25"/>
      <c r="BH760" s="25"/>
      <c r="BI760" s="25"/>
      <c r="BJ760" s="24"/>
      <c r="BK760" s="24"/>
      <c r="BL760" s="25"/>
      <c r="BM760" s="25"/>
      <c r="BN760" s="25"/>
    </row>
    <row r="761" spans="1:66" ht="13.5" customHeight="1" x14ac:dyDescent="0.2">
      <c r="A761" s="22"/>
      <c r="B761" s="23"/>
      <c r="C761" s="23"/>
      <c r="D761" s="24"/>
      <c r="E761" s="24"/>
      <c r="F761" s="24"/>
      <c r="G761" s="24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7"/>
      <c r="AN761" s="25"/>
      <c r="AO761" s="25"/>
      <c r="AP761" s="28"/>
      <c r="AQ761" s="25"/>
      <c r="AR761" s="25"/>
      <c r="AS761" s="28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F761" s="25"/>
      <c r="BG761" s="25"/>
      <c r="BH761" s="25"/>
      <c r="BI761" s="25"/>
      <c r="BJ761" s="24"/>
      <c r="BK761" s="24"/>
      <c r="BL761" s="25"/>
      <c r="BM761" s="25"/>
      <c r="BN761" s="25"/>
    </row>
    <row r="762" spans="1:66" ht="13.5" customHeight="1" x14ac:dyDescent="0.2">
      <c r="A762" s="22"/>
      <c r="B762" s="23"/>
      <c r="C762" s="23"/>
      <c r="D762" s="24"/>
      <c r="E762" s="24"/>
      <c r="F762" s="24"/>
      <c r="G762" s="24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7"/>
      <c r="AN762" s="25"/>
      <c r="AO762" s="25"/>
      <c r="AP762" s="28"/>
      <c r="AQ762" s="25"/>
      <c r="AR762" s="25"/>
      <c r="AS762" s="28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F762" s="25"/>
      <c r="BG762" s="25"/>
      <c r="BH762" s="25"/>
      <c r="BI762" s="25"/>
      <c r="BJ762" s="24"/>
      <c r="BK762" s="24"/>
      <c r="BL762" s="25"/>
      <c r="BM762" s="25"/>
      <c r="BN762" s="25"/>
    </row>
    <row r="763" spans="1:66" ht="13.5" customHeight="1" x14ac:dyDescent="0.2">
      <c r="A763" s="22"/>
      <c r="B763" s="23"/>
      <c r="C763" s="23"/>
      <c r="D763" s="24"/>
      <c r="E763" s="24"/>
      <c r="F763" s="24"/>
      <c r="G763" s="24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7"/>
      <c r="AN763" s="25"/>
      <c r="AO763" s="25"/>
      <c r="AP763" s="28"/>
      <c r="AQ763" s="25"/>
      <c r="AR763" s="25"/>
      <c r="AS763" s="28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F763" s="25"/>
      <c r="BG763" s="25"/>
      <c r="BH763" s="25"/>
      <c r="BI763" s="25"/>
      <c r="BJ763" s="24"/>
      <c r="BK763" s="24"/>
      <c r="BL763" s="25"/>
      <c r="BM763" s="25"/>
      <c r="BN763" s="25"/>
    </row>
    <row r="764" spans="1:66" ht="13.5" customHeight="1" x14ac:dyDescent="0.2">
      <c r="A764" s="22"/>
      <c r="B764" s="23"/>
      <c r="C764" s="23"/>
      <c r="D764" s="24"/>
      <c r="E764" s="24"/>
      <c r="F764" s="24"/>
      <c r="G764" s="24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7"/>
      <c r="AN764" s="25"/>
      <c r="AO764" s="25"/>
      <c r="AP764" s="28"/>
      <c r="AQ764" s="25"/>
      <c r="AR764" s="25"/>
      <c r="AS764" s="28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F764" s="25"/>
      <c r="BG764" s="25"/>
      <c r="BH764" s="25"/>
      <c r="BI764" s="25"/>
      <c r="BJ764" s="24"/>
      <c r="BK764" s="24"/>
      <c r="BL764" s="25"/>
      <c r="BM764" s="25"/>
      <c r="BN764" s="25"/>
    </row>
    <row r="765" spans="1:66" ht="13.5" customHeight="1" x14ac:dyDescent="0.2">
      <c r="A765" s="22"/>
      <c r="B765" s="23"/>
      <c r="C765" s="23"/>
      <c r="D765" s="24"/>
      <c r="E765" s="24"/>
      <c r="F765" s="24"/>
      <c r="G765" s="24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7"/>
      <c r="AN765" s="25"/>
      <c r="AO765" s="25"/>
      <c r="AP765" s="28"/>
      <c r="AQ765" s="25"/>
      <c r="AR765" s="25"/>
      <c r="AS765" s="28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F765" s="25"/>
      <c r="BG765" s="25"/>
      <c r="BH765" s="25"/>
      <c r="BI765" s="25"/>
      <c r="BJ765" s="24"/>
      <c r="BK765" s="24"/>
      <c r="BL765" s="25"/>
      <c r="BM765" s="25"/>
      <c r="BN765" s="25"/>
    </row>
    <row r="766" spans="1:66" ht="13.5" customHeight="1" x14ac:dyDescent="0.2">
      <c r="A766" s="22"/>
      <c r="B766" s="23"/>
      <c r="C766" s="23"/>
      <c r="D766" s="24"/>
      <c r="E766" s="24"/>
      <c r="F766" s="24"/>
      <c r="G766" s="24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7"/>
      <c r="AN766" s="25"/>
      <c r="AO766" s="25"/>
      <c r="AP766" s="28"/>
      <c r="AQ766" s="25"/>
      <c r="AR766" s="25"/>
      <c r="AS766" s="28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F766" s="25"/>
      <c r="BG766" s="25"/>
      <c r="BH766" s="25"/>
      <c r="BI766" s="25"/>
      <c r="BJ766" s="24"/>
      <c r="BK766" s="24"/>
      <c r="BL766" s="25"/>
      <c r="BM766" s="25"/>
      <c r="BN766" s="25"/>
    </row>
    <row r="767" spans="1:66" ht="13.5" customHeight="1" x14ac:dyDescent="0.2">
      <c r="A767" s="22"/>
      <c r="B767" s="23"/>
      <c r="C767" s="23"/>
      <c r="D767" s="24"/>
      <c r="E767" s="24"/>
      <c r="F767" s="24"/>
      <c r="G767" s="24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7"/>
      <c r="AN767" s="25"/>
      <c r="AO767" s="25"/>
      <c r="AP767" s="28"/>
      <c r="AQ767" s="25"/>
      <c r="AR767" s="25"/>
      <c r="AS767" s="28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F767" s="25"/>
      <c r="BG767" s="25"/>
      <c r="BH767" s="25"/>
      <c r="BI767" s="25"/>
      <c r="BJ767" s="24"/>
      <c r="BK767" s="24"/>
      <c r="BL767" s="25"/>
      <c r="BM767" s="25"/>
      <c r="BN767" s="25"/>
    </row>
    <row r="768" spans="1:66" ht="13.5" customHeight="1" x14ac:dyDescent="0.2">
      <c r="A768" s="22"/>
      <c r="B768" s="23"/>
      <c r="C768" s="23"/>
      <c r="D768" s="24"/>
      <c r="E768" s="24"/>
      <c r="F768" s="24"/>
      <c r="G768" s="24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7"/>
      <c r="AN768" s="25"/>
      <c r="AO768" s="25"/>
      <c r="AP768" s="28"/>
      <c r="AQ768" s="25"/>
      <c r="AR768" s="25"/>
      <c r="AS768" s="28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F768" s="25"/>
      <c r="BG768" s="25"/>
      <c r="BH768" s="25"/>
      <c r="BI768" s="25"/>
      <c r="BJ768" s="24"/>
      <c r="BK768" s="24"/>
      <c r="BL768" s="25"/>
      <c r="BM768" s="25"/>
      <c r="BN768" s="25"/>
    </row>
    <row r="769" spans="1:66" ht="13.5" customHeight="1" x14ac:dyDescent="0.2">
      <c r="A769" s="22"/>
      <c r="B769" s="23"/>
      <c r="C769" s="23"/>
      <c r="D769" s="24"/>
      <c r="E769" s="24"/>
      <c r="F769" s="24"/>
      <c r="G769" s="24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7"/>
      <c r="AN769" s="25"/>
      <c r="AO769" s="25"/>
      <c r="AP769" s="28"/>
      <c r="AQ769" s="25"/>
      <c r="AR769" s="25"/>
      <c r="AS769" s="28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F769" s="25"/>
      <c r="BG769" s="25"/>
      <c r="BH769" s="25"/>
      <c r="BI769" s="25"/>
      <c r="BJ769" s="24"/>
      <c r="BK769" s="24"/>
      <c r="BL769" s="25"/>
      <c r="BM769" s="25"/>
      <c r="BN769" s="25"/>
    </row>
    <row r="770" spans="1:66" ht="13.5" customHeight="1" x14ac:dyDescent="0.2">
      <c r="A770" s="22"/>
      <c r="B770" s="23"/>
      <c r="C770" s="23"/>
      <c r="D770" s="24"/>
      <c r="E770" s="24"/>
      <c r="F770" s="24"/>
      <c r="G770" s="24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7"/>
      <c r="AN770" s="25"/>
      <c r="AO770" s="25"/>
      <c r="AP770" s="28"/>
      <c r="AQ770" s="25"/>
      <c r="AR770" s="25"/>
      <c r="AS770" s="28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F770" s="25"/>
      <c r="BG770" s="25"/>
      <c r="BH770" s="25"/>
      <c r="BI770" s="25"/>
      <c r="BJ770" s="24"/>
      <c r="BK770" s="24"/>
      <c r="BL770" s="25"/>
      <c r="BM770" s="25"/>
      <c r="BN770" s="25"/>
    </row>
    <row r="771" spans="1:66" ht="13.5" customHeight="1" x14ac:dyDescent="0.2">
      <c r="A771" s="22"/>
      <c r="B771" s="23"/>
      <c r="C771" s="23"/>
      <c r="D771" s="24"/>
      <c r="E771" s="24"/>
      <c r="F771" s="24"/>
      <c r="G771" s="24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7"/>
      <c r="AN771" s="25"/>
      <c r="AO771" s="25"/>
      <c r="AP771" s="28"/>
      <c r="AQ771" s="25"/>
      <c r="AR771" s="25"/>
      <c r="AS771" s="28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F771" s="25"/>
      <c r="BG771" s="25"/>
      <c r="BH771" s="25"/>
      <c r="BI771" s="25"/>
      <c r="BJ771" s="24"/>
      <c r="BK771" s="24"/>
      <c r="BL771" s="25"/>
      <c r="BM771" s="25"/>
      <c r="BN771" s="25"/>
    </row>
    <row r="772" spans="1:66" ht="13.5" customHeight="1" x14ac:dyDescent="0.2">
      <c r="A772" s="22"/>
      <c r="B772" s="23"/>
      <c r="C772" s="23"/>
      <c r="D772" s="24"/>
      <c r="E772" s="24"/>
      <c r="F772" s="24"/>
      <c r="G772" s="24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7"/>
      <c r="AN772" s="25"/>
      <c r="AO772" s="25"/>
      <c r="AP772" s="28"/>
      <c r="AQ772" s="25"/>
      <c r="AR772" s="25"/>
      <c r="AS772" s="28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F772" s="25"/>
      <c r="BG772" s="25"/>
      <c r="BH772" s="25"/>
      <c r="BI772" s="25"/>
      <c r="BJ772" s="24"/>
      <c r="BK772" s="24"/>
      <c r="BL772" s="25"/>
      <c r="BM772" s="25"/>
      <c r="BN772" s="25"/>
    </row>
    <row r="773" spans="1:66" ht="13.5" customHeight="1" x14ac:dyDescent="0.2">
      <c r="A773" s="22"/>
      <c r="B773" s="23"/>
      <c r="C773" s="23"/>
      <c r="D773" s="24"/>
      <c r="E773" s="24"/>
      <c r="F773" s="24"/>
      <c r="G773" s="24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7"/>
      <c r="AN773" s="25"/>
      <c r="AO773" s="25"/>
      <c r="AP773" s="28"/>
      <c r="AQ773" s="25"/>
      <c r="AR773" s="25"/>
      <c r="AS773" s="28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F773" s="25"/>
      <c r="BG773" s="25"/>
      <c r="BH773" s="25"/>
      <c r="BI773" s="25"/>
      <c r="BJ773" s="24"/>
      <c r="BK773" s="24"/>
      <c r="BL773" s="25"/>
      <c r="BM773" s="25"/>
      <c r="BN773" s="25"/>
    </row>
    <row r="774" spans="1:66" ht="13.5" customHeight="1" x14ac:dyDescent="0.2">
      <c r="A774" s="22"/>
      <c r="B774" s="23"/>
      <c r="C774" s="23"/>
      <c r="D774" s="24"/>
      <c r="E774" s="24"/>
      <c r="F774" s="24"/>
      <c r="G774" s="24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7"/>
      <c r="AN774" s="25"/>
      <c r="AO774" s="25"/>
      <c r="AP774" s="28"/>
      <c r="AQ774" s="25"/>
      <c r="AR774" s="25"/>
      <c r="AS774" s="28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F774" s="25"/>
      <c r="BG774" s="25"/>
      <c r="BH774" s="25"/>
      <c r="BI774" s="25"/>
      <c r="BJ774" s="24"/>
      <c r="BK774" s="24"/>
      <c r="BL774" s="25"/>
      <c r="BM774" s="25"/>
      <c r="BN774" s="25"/>
    </row>
    <row r="775" spans="1:66" ht="13.5" customHeight="1" x14ac:dyDescent="0.2">
      <c r="A775" s="22"/>
      <c r="B775" s="23"/>
      <c r="C775" s="23"/>
      <c r="D775" s="24"/>
      <c r="E775" s="24"/>
      <c r="F775" s="24"/>
      <c r="G775" s="24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7"/>
      <c r="AN775" s="25"/>
      <c r="AO775" s="25"/>
      <c r="AP775" s="28"/>
      <c r="AQ775" s="25"/>
      <c r="AR775" s="25"/>
      <c r="AS775" s="28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F775" s="25"/>
      <c r="BG775" s="25"/>
      <c r="BH775" s="25"/>
      <c r="BI775" s="25"/>
      <c r="BJ775" s="24"/>
      <c r="BK775" s="24"/>
      <c r="BL775" s="25"/>
      <c r="BM775" s="25"/>
      <c r="BN775" s="25"/>
    </row>
    <row r="776" spans="1:66" ht="13.5" customHeight="1" x14ac:dyDescent="0.2">
      <c r="A776" s="22"/>
      <c r="B776" s="23"/>
      <c r="C776" s="23"/>
      <c r="D776" s="24"/>
      <c r="E776" s="24"/>
      <c r="F776" s="24"/>
      <c r="G776" s="24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7"/>
      <c r="AN776" s="25"/>
      <c r="AO776" s="25"/>
      <c r="AP776" s="28"/>
      <c r="AQ776" s="25"/>
      <c r="AR776" s="25"/>
      <c r="AS776" s="28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F776" s="25"/>
      <c r="BG776" s="25"/>
      <c r="BH776" s="25"/>
      <c r="BI776" s="25"/>
      <c r="BJ776" s="24"/>
      <c r="BK776" s="24"/>
      <c r="BL776" s="25"/>
      <c r="BM776" s="25"/>
      <c r="BN776" s="25"/>
    </row>
    <row r="777" spans="1:66" ht="13.5" customHeight="1" x14ac:dyDescent="0.2">
      <c r="A777" s="22"/>
      <c r="B777" s="23"/>
      <c r="C777" s="23"/>
      <c r="D777" s="24"/>
      <c r="E777" s="24"/>
      <c r="F777" s="24"/>
      <c r="G777" s="24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7"/>
      <c r="AN777" s="25"/>
      <c r="AO777" s="25"/>
      <c r="AP777" s="28"/>
      <c r="AQ777" s="25"/>
      <c r="AR777" s="25"/>
      <c r="AS777" s="28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F777" s="25"/>
      <c r="BG777" s="25"/>
      <c r="BH777" s="25"/>
      <c r="BI777" s="25"/>
      <c r="BJ777" s="24"/>
      <c r="BK777" s="24"/>
      <c r="BL777" s="25"/>
      <c r="BM777" s="25"/>
      <c r="BN777" s="25"/>
    </row>
    <row r="778" spans="1:66" ht="13.5" customHeight="1" x14ac:dyDescent="0.2">
      <c r="A778" s="22"/>
      <c r="B778" s="23"/>
      <c r="C778" s="23"/>
      <c r="D778" s="24"/>
      <c r="E778" s="24"/>
      <c r="F778" s="24"/>
      <c r="G778" s="24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7"/>
      <c r="AN778" s="25"/>
      <c r="AO778" s="25"/>
      <c r="AP778" s="28"/>
      <c r="AQ778" s="25"/>
      <c r="AR778" s="25"/>
      <c r="AS778" s="28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F778" s="25"/>
      <c r="BG778" s="25"/>
      <c r="BH778" s="25"/>
      <c r="BI778" s="25"/>
      <c r="BJ778" s="24"/>
      <c r="BK778" s="24"/>
      <c r="BL778" s="25"/>
      <c r="BM778" s="25"/>
      <c r="BN778" s="25"/>
    </row>
    <row r="779" spans="1:66" ht="13.5" customHeight="1" x14ac:dyDescent="0.2">
      <c r="A779" s="22"/>
      <c r="B779" s="23"/>
      <c r="C779" s="23"/>
      <c r="D779" s="24"/>
      <c r="E779" s="24"/>
      <c r="F779" s="24"/>
      <c r="G779" s="24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7"/>
      <c r="AN779" s="25"/>
      <c r="AO779" s="25"/>
      <c r="AP779" s="28"/>
      <c r="AQ779" s="25"/>
      <c r="AR779" s="25"/>
      <c r="AS779" s="28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F779" s="25"/>
      <c r="BG779" s="25"/>
      <c r="BH779" s="25"/>
      <c r="BI779" s="25"/>
      <c r="BJ779" s="24"/>
      <c r="BK779" s="24"/>
      <c r="BL779" s="25"/>
      <c r="BM779" s="25"/>
      <c r="BN779" s="25"/>
    </row>
    <row r="780" spans="1:66" ht="13.5" customHeight="1" x14ac:dyDescent="0.2">
      <c r="A780" s="22"/>
      <c r="B780" s="23"/>
      <c r="C780" s="23"/>
      <c r="D780" s="24"/>
      <c r="E780" s="24"/>
      <c r="F780" s="24"/>
      <c r="G780" s="24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7"/>
      <c r="AN780" s="25"/>
      <c r="AO780" s="25"/>
      <c r="AP780" s="28"/>
      <c r="AQ780" s="25"/>
      <c r="AR780" s="25"/>
      <c r="AS780" s="28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F780" s="25"/>
      <c r="BG780" s="25"/>
      <c r="BH780" s="25"/>
      <c r="BI780" s="25"/>
      <c r="BJ780" s="24"/>
      <c r="BK780" s="24"/>
      <c r="BL780" s="25"/>
      <c r="BM780" s="25"/>
      <c r="BN780" s="25"/>
    </row>
    <row r="781" spans="1:66" ht="13.5" customHeight="1" x14ac:dyDescent="0.2">
      <c r="A781" s="22"/>
      <c r="B781" s="23"/>
      <c r="C781" s="23"/>
      <c r="D781" s="24"/>
      <c r="E781" s="24"/>
      <c r="F781" s="24"/>
      <c r="G781" s="24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7"/>
      <c r="AN781" s="25"/>
      <c r="AO781" s="25"/>
      <c r="AP781" s="28"/>
      <c r="AQ781" s="25"/>
      <c r="AR781" s="25"/>
      <c r="AS781" s="28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F781" s="25"/>
      <c r="BG781" s="25"/>
      <c r="BH781" s="25"/>
      <c r="BI781" s="25"/>
      <c r="BJ781" s="24"/>
      <c r="BK781" s="24"/>
      <c r="BL781" s="25"/>
      <c r="BM781" s="25"/>
      <c r="BN781" s="25"/>
    </row>
    <row r="782" spans="1:66" ht="13.5" customHeight="1" x14ac:dyDescent="0.2">
      <c r="A782" s="22"/>
      <c r="B782" s="23"/>
      <c r="C782" s="23"/>
      <c r="D782" s="24"/>
      <c r="E782" s="24"/>
      <c r="F782" s="24"/>
      <c r="G782" s="24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7"/>
      <c r="AN782" s="25"/>
      <c r="AO782" s="25"/>
      <c r="AP782" s="28"/>
      <c r="AQ782" s="25"/>
      <c r="AR782" s="25"/>
      <c r="AS782" s="28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F782" s="25"/>
      <c r="BG782" s="25"/>
      <c r="BH782" s="25"/>
      <c r="BI782" s="25"/>
      <c r="BJ782" s="24"/>
      <c r="BK782" s="24"/>
      <c r="BL782" s="25"/>
      <c r="BM782" s="25"/>
      <c r="BN782" s="25"/>
    </row>
    <row r="783" spans="1:66" ht="13.5" customHeight="1" x14ac:dyDescent="0.2">
      <c r="A783" s="22"/>
      <c r="B783" s="23"/>
      <c r="C783" s="23"/>
      <c r="D783" s="24"/>
      <c r="E783" s="24"/>
      <c r="F783" s="24"/>
      <c r="G783" s="24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7"/>
      <c r="AN783" s="25"/>
      <c r="AO783" s="25"/>
      <c r="AP783" s="28"/>
      <c r="AQ783" s="25"/>
      <c r="AR783" s="25"/>
      <c r="AS783" s="28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F783" s="25"/>
      <c r="BG783" s="25"/>
      <c r="BH783" s="25"/>
      <c r="BI783" s="25"/>
      <c r="BJ783" s="24"/>
      <c r="BK783" s="24"/>
      <c r="BL783" s="25"/>
      <c r="BM783" s="25"/>
      <c r="BN783" s="25"/>
    </row>
    <row r="784" spans="1:66" ht="13.5" customHeight="1" x14ac:dyDescent="0.2">
      <c r="A784" s="22"/>
      <c r="B784" s="23"/>
      <c r="C784" s="23"/>
      <c r="D784" s="24"/>
      <c r="E784" s="24"/>
      <c r="F784" s="24"/>
      <c r="G784" s="24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7"/>
      <c r="AN784" s="25"/>
      <c r="AO784" s="25"/>
      <c r="AP784" s="28"/>
      <c r="AQ784" s="25"/>
      <c r="AR784" s="25"/>
      <c r="AS784" s="28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F784" s="25"/>
      <c r="BG784" s="25"/>
      <c r="BH784" s="25"/>
      <c r="BI784" s="25"/>
      <c r="BJ784" s="24"/>
      <c r="BK784" s="24"/>
      <c r="BL784" s="25"/>
      <c r="BM784" s="25"/>
      <c r="BN784" s="25"/>
    </row>
    <row r="785" spans="1:66" ht="13.5" customHeight="1" x14ac:dyDescent="0.2">
      <c r="A785" s="22"/>
      <c r="B785" s="23"/>
      <c r="C785" s="23"/>
      <c r="D785" s="24"/>
      <c r="E785" s="24"/>
      <c r="F785" s="24"/>
      <c r="G785" s="24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7"/>
      <c r="AN785" s="25"/>
      <c r="AO785" s="25"/>
      <c r="AP785" s="28"/>
      <c r="AQ785" s="25"/>
      <c r="AR785" s="25"/>
      <c r="AS785" s="28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F785" s="25"/>
      <c r="BG785" s="25"/>
      <c r="BH785" s="25"/>
      <c r="BI785" s="25"/>
      <c r="BJ785" s="24"/>
      <c r="BK785" s="24"/>
      <c r="BL785" s="25"/>
      <c r="BM785" s="25"/>
      <c r="BN785" s="25"/>
    </row>
    <row r="786" spans="1:66" ht="13.5" customHeight="1" x14ac:dyDescent="0.2">
      <c r="A786" s="22"/>
      <c r="B786" s="23"/>
      <c r="C786" s="23"/>
      <c r="D786" s="24"/>
      <c r="E786" s="24"/>
      <c r="F786" s="24"/>
      <c r="G786" s="24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7"/>
      <c r="AN786" s="25"/>
      <c r="AO786" s="25"/>
      <c r="AP786" s="28"/>
      <c r="AQ786" s="25"/>
      <c r="AR786" s="25"/>
      <c r="AS786" s="28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F786" s="25"/>
      <c r="BG786" s="25"/>
      <c r="BH786" s="25"/>
      <c r="BI786" s="25"/>
      <c r="BJ786" s="24"/>
      <c r="BK786" s="24"/>
      <c r="BL786" s="25"/>
      <c r="BM786" s="25"/>
      <c r="BN786" s="25"/>
    </row>
    <row r="787" spans="1:66" ht="13.5" customHeight="1" x14ac:dyDescent="0.2">
      <c r="A787" s="22"/>
      <c r="B787" s="23"/>
      <c r="C787" s="23"/>
      <c r="D787" s="24"/>
      <c r="E787" s="24"/>
      <c r="F787" s="24"/>
      <c r="G787" s="24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7"/>
      <c r="AN787" s="25"/>
      <c r="AO787" s="25"/>
      <c r="AP787" s="28"/>
      <c r="AQ787" s="25"/>
      <c r="AR787" s="25"/>
      <c r="AS787" s="28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F787" s="25"/>
      <c r="BG787" s="25"/>
      <c r="BH787" s="25"/>
      <c r="BI787" s="25"/>
      <c r="BJ787" s="24"/>
      <c r="BK787" s="24"/>
      <c r="BL787" s="25"/>
      <c r="BM787" s="25"/>
      <c r="BN787" s="25"/>
    </row>
    <row r="788" spans="1:66" ht="13.5" customHeight="1" x14ac:dyDescent="0.2">
      <c r="A788" s="22"/>
      <c r="B788" s="23"/>
      <c r="C788" s="23"/>
      <c r="D788" s="24"/>
      <c r="E788" s="24"/>
      <c r="F788" s="24"/>
      <c r="G788" s="24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7"/>
      <c r="AN788" s="25"/>
      <c r="AO788" s="25"/>
      <c r="AP788" s="28"/>
      <c r="AQ788" s="25"/>
      <c r="AR788" s="25"/>
      <c r="AS788" s="28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F788" s="25"/>
      <c r="BG788" s="25"/>
      <c r="BH788" s="25"/>
      <c r="BI788" s="25"/>
      <c r="BJ788" s="24"/>
      <c r="BK788" s="24"/>
      <c r="BL788" s="25"/>
      <c r="BM788" s="25"/>
      <c r="BN788" s="25"/>
    </row>
    <row r="789" spans="1:66" ht="13.5" customHeight="1" x14ac:dyDescent="0.2">
      <c r="A789" s="22"/>
      <c r="B789" s="23"/>
      <c r="C789" s="23"/>
      <c r="D789" s="24"/>
      <c r="E789" s="24"/>
      <c r="F789" s="24"/>
      <c r="G789" s="24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7"/>
      <c r="AN789" s="25"/>
      <c r="AO789" s="25"/>
      <c r="AP789" s="28"/>
      <c r="AQ789" s="25"/>
      <c r="AR789" s="25"/>
      <c r="AS789" s="28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F789" s="25"/>
      <c r="BG789" s="25"/>
      <c r="BH789" s="25"/>
      <c r="BI789" s="25"/>
      <c r="BJ789" s="24"/>
      <c r="BK789" s="24"/>
      <c r="BL789" s="25"/>
      <c r="BM789" s="25"/>
      <c r="BN789" s="25"/>
    </row>
    <row r="790" spans="1:66" ht="13.5" customHeight="1" x14ac:dyDescent="0.2">
      <c r="A790" s="22"/>
      <c r="B790" s="23"/>
      <c r="C790" s="23"/>
      <c r="D790" s="24"/>
      <c r="E790" s="24"/>
      <c r="F790" s="24"/>
      <c r="G790" s="24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7"/>
      <c r="AN790" s="25"/>
      <c r="AO790" s="25"/>
      <c r="AP790" s="28"/>
      <c r="AQ790" s="25"/>
      <c r="AR790" s="25"/>
      <c r="AS790" s="28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F790" s="25"/>
      <c r="BG790" s="25"/>
      <c r="BH790" s="25"/>
      <c r="BI790" s="25"/>
      <c r="BJ790" s="24"/>
      <c r="BK790" s="24"/>
      <c r="BL790" s="25"/>
      <c r="BM790" s="25"/>
      <c r="BN790" s="25"/>
    </row>
    <row r="791" spans="1:66" ht="13.5" customHeight="1" x14ac:dyDescent="0.2">
      <c r="A791" s="22"/>
      <c r="B791" s="23"/>
      <c r="C791" s="23"/>
      <c r="D791" s="24"/>
      <c r="E791" s="24"/>
      <c r="F791" s="24"/>
      <c r="G791" s="24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7"/>
      <c r="AN791" s="25"/>
      <c r="AO791" s="25"/>
      <c r="AP791" s="28"/>
      <c r="AQ791" s="25"/>
      <c r="AR791" s="25"/>
      <c r="AS791" s="28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F791" s="25"/>
      <c r="BG791" s="25"/>
      <c r="BH791" s="25"/>
      <c r="BI791" s="25"/>
      <c r="BJ791" s="24"/>
      <c r="BK791" s="24"/>
      <c r="BL791" s="25"/>
      <c r="BM791" s="25"/>
      <c r="BN791" s="25"/>
    </row>
    <row r="792" spans="1:66" ht="13.5" customHeight="1" x14ac:dyDescent="0.2">
      <c r="A792" s="22"/>
      <c r="B792" s="23"/>
      <c r="C792" s="23"/>
      <c r="D792" s="24"/>
      <c r="E792" s="24"/>
      <c r="F792" s="24"/>
      <c r="G792" s="24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7"/>
      <c r="AN792" s="25"/>
      <c r="AO792" s="25"/>
      <c r="AP792" s="28"/>
      <c r="AQ792" s="25"/>
      <c r="AR792" s="25"/>
      <c r="AS792" s="28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F792" s="25"/>
      <c r="BG792" s="25"/>
      <c r="BH792" s="25"/>
      <c r="BI792" s="25"/>
      <c r="BJ792" s="24"/>
      <c r="BK792" s="24"/>
      <c r="BL792" s="25"/>
      <c r="BM792" s="25"/>
      <c r="BN792" s="25"/>
    </row>
    <row r="793" spans="1:66" ht="13.5" customHeight="1" x14ac:dyDescent="0.2">
      <c r="A793" s="22"/>
      <c r="B793" s="23"/>
      <c r="C793" s="23"/>
      <c r="D793" s="24"/>
      <c r="E793" s="24"/>
      <c r="F793" s="24"/>
      <c r="G793" s="24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7"/>
      <c r="AN793" s="25"/>
      <c r="AO793" s="25"/>
      <c r="AP793" s="28"/>
      <c r="AQ793" s="25"/>
      <c r="AR793" s="25"/>
      <c r="AS793" s="28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F793" s="25"/>
      <c r="BG793" s="25"/>
      <c r="BH793" s="25"/>
      <c r="BI793" s="25"/>
      <c r="BJ793" s="24"/>
      <c r="BK793" s="24"/>
      <c r="BL793" s="25"/>
      <c r="BM793" s="25"/>
      <c r="BN793" s="25"/>
    </row>
    <row r="794" spans="1:66" ht="13.5" customHeight="1" x14ac:dyDescent="0.2">
      <c r="A794" s="22"/>
      <c r="B794" s="23"/>
      <c r="C794" s="23"/>
      <c r="D794" s="24"/>
      <c r="E794" s="24"/>
      <c r="F794" s="24"/>
      <c r="G794" s="24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7"/>
      <c r="AN794" s="25"/>
      <c r="AO794" s="25"/>
      <c r="AP794" s="28"/>
      <c r="AQ794" s="25"/>
      <c r="AR794" s="25"/>
      <c r="AS794" s="28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F794" s="25"/>
      <c r="BG794" s="25"/>
      <c r="BH794" s="25"/>
      <c r="BI794" s="25"/>
      <c r="BJ794" s="24"/>
      <c r="BK794" s="24"/>
      <c r="BL794" s="25"/>
      <c r="BM794" s="25"/>
      <c r="BN794" s="25"/>
    </row>
    <row r="795" spans="1:66" ht="13.5" customHeight="1" x14ac:dyDescent="0.2">
      <c r="A795" s="22"/>
      <c r="B795" s="23"/>
      <c r="C795" s="23"/>
      <c r="D795" s="24"/>
      <c r="E795" s="24"/>
      <c r="F795" s="24"/>
      <c r="G795" s="24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7"/>
      <c r="AN795" s="25"/>
      <c r="AO795" s="25"/>
      <c r="AP795" s="28"/>
      <c r="AQ795" s="25"/>
      <c r="AR795" s="25"/>
      <c r="AS795" s="28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F795" s="25"/>
      <c r="BG795" s="25"/>
      <c r="BH795" s="25"/>
      <c r="BI795" s="25"/>
      <c r="BJ795" s="24"/>
      <c r="BK795" s="24"/>
      <c r="BL795" s="25"/>
      <c r="BM795" s="25"/>
      <c r="BN795" s="25"/>
    </row>
    <row r="796" spans="1:66" ht="13.5" customHeight="1" x14ac:dyDescent="0.2">
      <c r="A796" s="22"/>
      <c r="B796" s="23"/>
      <c r="C796" s="23"/>
      <c r="D796" s="24"/>
      <c r="E796" s="24"/>
      <c r="F796" s="24"/>
      <c r="G796" s="24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7"/>
      <c r="AN796" s="25"/>
      <c r="AO796" s="25"/>
      <c r="AP796" s="28"/>
      <c r="AQ796" s="25"/>
      <c r="AR796" s="25"/>
      <c r="AS796" s="28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F796" s="25"/>
      <c r="BG796" s="25"/>
      <c r="BH796" s="25"/>
      <c r="BI796" s="25"/>
      <c r="BJ796" s="24"/>
      <c r="BK796" s="24"/>
      <c r="BL796" s="25"/>
      <c r="BM796" s="25"/>
      <c r="BN796" s="25"/>
    </row>
    <row r="797" spans="1:66" ht="13.5" customHeight="1" x14ac:dyDescent="0.2">
      <c r="A797" s="22"/>
      <c r="B797" s="23"/>
      <c r="C797" s="23"/>
      <c r="D797" s="24"/>
      <c r="E797" s="24"/>
      <c r="F797" s="24"/>
      <c r="G797" s="24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7"/>
      <c r="AN797" s="25"/>
      <c r="AO797" s="25"/>
      <c r="AP797" s="28"/>
      <c r="AQ797" s="25"/>
      <c r="AR797" s="25"/>
      <c r="AS797" s="28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F797" s="25"/>
      <c r="BG797" s="25"/>
      <c r="BH797" s="25"/>
      <c r="BI797" s="25"/>
      <c r="BJ797" s="24"/>
      <c r="BK797" s="24"/>
      <c r="BL797" s="25"/>
      <c r="BM797" s="25"/>
      <c r="BN797" s="25"/>
    </row>
    <row r="798" spans="1:66" ht="13.5" customHeight="1" x14ac:dyDescent="0.2">
      <c r="A798" s="22"/>
      <c r="B798" s="23"/>
      <c r="C798" s="23"/>
      <c r="D798" s="24"/>
      <c r="E798" s="24"/>
      <c r="F798" s="24"/>
      <c r="G798" s="24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7"/>
      <c r="AN798" s="25"/>
      <c r="AO798" s="25"/>
      <c r="AP798" s="28"/>
      <c r="AQ798" s="25"/>
      <c r="AR798" s="25"/>
      <c r="AS798" s="28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F798" s="25"/>
      <c r="BG798" s="25"/>
      <c r="BH798" s="25"/>
      <c r="BI798" s="25"/>
      <c r="BJ798" s="24"/>
      <c r="BK798" s="24"/>
      <c r="BL798" s="25"/>
      <c r="BM798" s="25"/>
      <c r="BN798" s="25"/>
    </row>
    <row r="799" spans="1:66" ht="13.5" customHeight="1" x14ac:dyDescent="0.2">
      <c r="A799" s="22"/>
      <c r="B799" s="23"/>
      <c r="C799" s="23"/>
      <c r="D799" s="24"/>
      <c r="E799" s="24"/>
      <c r="F799" s="24"/>
      <c r="G799" s="24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7"/>
      <c r="AN799" s="25"/>
      <c r="AO799" s="25"/>
      <c r="AP799" s="28"/>
      <c r="AQ799" s="25"/>
      <c r="AR799" s="25"/>
      <c r="AS799" s="28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F799" s="25"/>
      <c r="BG799" s="25"/>
      <c r="BH799" s="25"/>
      <c r="BI799" s="25"/>
      <c r="BJ799" s="24"/>
      <c r="BK799" s="24"/>
      <c r="BL799" s="25"/>
      <c r="BM799" s="25"/>
      <c r="BN799" s="25"/>
    </row>
    <row r="800" spans="1:66" ht="13.5" customHeight="1" x14ac:dyDescent="0.2">
      <c r="A800" s="22"/>
      <c r="B800" s="23"/>
      <c r="C800" s="23"/>
      <c r="D800" s="24"/>
      <c r="E800" s="24"/>
      <c r="F800" s="24"/>
      <c r="G800" s="24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7"/>
      <c r="AN800" s="25"/>
      <c r="AO800" s="25"/>
      <c r="AP800" s="28"/>
      <c r="AQ800" s="25"/>
      <c r="AR800" s="25"/>
      <c r="AS800" s="28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F800" s="25"/>
      <c r="BG800" s="25"/>
      <c r="BH800" s="25"/>
      <c r="BI800" s="25"/>
      <c r="BJ800" s="24"/>
      <c r="BK800" s="24"/>
      <c r="BL800" s="25"/>
      <c r="BM800" s="25"/>
      <c r="BN800" s="25"/>
    </row>
    <row r="801" spans="1:66" ht="13.5" customHeight="1" x14ac:dyDescent="0.2">
      <c r="A801" s="22"/>
      <c r="B801" s="23"/>
      <c r="C801" s="23"/>
      <c r="D801" s="24"/>
      <c r="E801" s="24"/>
      <c r="F801" s="24"/>
      <c r="G801" s="24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7"/>
      <c r="AN801" s="25"/>
      <c r="AO801" s="25"/>
      <c r="AP801" s="28"/>
      <c r="AQ801" s="25"/>
      <c r="AR801" s="25"/>
      <c r="AS801" s="28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F801" s="25"/>
      <c r="BG801" s="25"/>
      <c r="BH801" s="25"/>
      <c r="BI801" s="25"/>
      <c r="BJ801" s="24"/>
      <c r="BK801" s="24"/>
      <c r="BL801" s="25"/>
      <c r="BM801" s="25"/>
      <c r="BN801" s="25"/>
    </row>
    <row r="802" spans="1:66" ht="13.5" customHeight="1" x14ac:dyDescent="0.2">
      <c r="A802" s="22"/>
      <c r="B802" s="23"/>
      <c r="C802" s="23"/>
      <c r="D802" s="24"/>
      <c r="E802" s="24"/>
      <c r="F802" s="24"/>
      <c r="G802" s="24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7"/>
      <c r="AN802" s="25"/>
      <c r="AO802" s="25"/>
      <c r="AP802" s="28"/>
      <c r="AQ802" s="25"/>
      <c r="AR802" s="25"/>
      <c r="AS802" s="28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F802" s="25"/>
      <c r="BG802" s="25"/>
      <c r="BH802" s="25"/>
      <c r="BI802" s="25"/>
      <c r="BJ802" s="24"/>
      <c r="BK802" s="24"/>
      <c r="BL802" s="25"/>
      <c r="BM802" s="25"/>
      <c r="BN802" s="25"/>
    </row>
    <row r="803" spans="1:66" ht="13.5" customHeight="1" x14ac:dyDescent="0.2">
      <c r="A803" s="22"/>
      <c r="B803" s="23"/>
      <c r="C803" s="23"/>
      <c r="D803" s="24"/>
      <c r="E803" s="24"/>
      <c r="F803" s="24"/>
      <c r="G803" s="24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7"/>
      <c r="AN803" s="25"/>
      <c r="AO803" s="25"/>
      <c r="AP803" s="28"/>
      <c r="AQ803" s="25"/>
      <c r="AR803" s="25"/>
      <c r="AS803" s="28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F803" s="25"/>
      <c r="BG803" s="25"/>
      <c r="BH803" s="25"/>
      <c r="BI803" s="25"/>
      <c r="BJ803" s="24"/>
      <c r="BK803" s="24"/>
      <c r="BL803" s="25"/>
      <c r="BM803" s="25"/>
      <c r="BN803" s="25"/>
    </row>
    <row r="804" spans="1:66" ht="13.5" customHeight="1" x14ac:dyDescent="0.2">
      <c r="A804" s="22"/>
      <c r="B804" s="23"/>
      <c r="C804" s="23"/>
      <c r="D804" s="24"/>
      <c r="E804" s="24"/>
      <c r="F804" s="24"/>
      <c r="G804" s="24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7"/>
      <c r="AN804" s="25"/>
      <c r="AO804" s="25"/>
      <c r="AP804" s="28"/>
      <c r="AQ804" s="25"/>
      <c r="AR804" s="25"/>
      <c r="AS804" s="28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F804" s="25"/>
      <c r="BG804" s="25"/>
      <c r="BH804" s="25"/>
      <c r="BI804" s="25"/>
      <c r="BJ804" s="24"/>
      <c r="BK804" s="24"/>
      <c r="BL804" s="25"/>
      <c r="BM804" s="25"/>
      <c r="BN804" s="25"/>
    </row>
    <row r="805" spans="1:66" ht="13.5" customHeight="1" x14ac:dyDescent="0.2">
      <c r="A805" s="22"/>
      <c r="B805" s="23"/>
      <c r="C805" s="23"/>
      <c r="D805" s="24"/>
      <c r="E805" s="24"/>
      <c r="F805" s="24"/>
      <c r="G805" s="24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7"/>
      <c r="AN805" s="25"/>
      <c r="AO805" s="25"/>
      <c r="AP805" s="28"/>
      <c r="AQ805" s="25"/>
      <c r="AR805" s="25"/>
      <c r="AS805" s="28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F805" s="25"/>
      <c r="BG805" s="25"/>
      <c r="BH805" s="25"/>
      <c r="BI805" s="25"/>
      <c r="BJ805" s="24"/>
      <c r="BK805" s="24"/>
      <c r="BL805" s="25"/>
      <c r="BM805" s="25"/>
      <c r="BN805" s="25"/>
    </row>
    <row r="806" spans="1:66" ht="13.5" customHeight="1" x14ac:dyDescent="0.2">
      <c r="A806" s="22"/>
      <c r="B806" s="23"/>
      <c r="C806" s="23"/>
      <c r="D806" s="24"/>
      <c r="E806" s="24"/>
      <c r="F806" s="24"/>
      <c r="G806" s="24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7"/>
      <c r="AN806" s="25"/>
      <c r="AO806" s="25"/>
      <c r="AP806" s="28"/>
      <c r="AQ806" s="25"/>
      <c r="AR806" s="25"/>
      <c r="AS806" s="28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F806" s="25"/>
      <c r="BG806" s="25"/>
      <c r="BH806" s="25"/>
      <c r="BI806" s="25"/>
      <c r="BJ806" s="24"/>
      <c r="BK806" s="24"/>
      <c r="BL806" s="25"/>
      <c r="BM806" s="25"/>
      <c r="BN806" s="25"/>
    </row>
    <row r="807" spans="1:66" ht="13.5" customHeight="1" x14ac:dyDescent="0.2">
      <c r="A807" s="22"/>
      <c r="B807" s="23"/>
      <c r="C807" s="23"/>
      <c r="D807" s="24"/>
      <c r="E807" s="24"/>
      <c r="F807" s="24"/>
      <c r="G807" s="24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7"/>
      <c r="AN807" s="25"/>
      <c r="AO807" s="25"/>
      <c r="AP807" s="28"/>
      <c r="AQ807" s="25"/>
      <c r="AR807" s="25"/>
      <c r="AS807" s="28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F807" s="25"/>
      <c r="BG807" s="25"/>
      <c r="BH807" s="25"/>
      <c r="BI807" s="25"/>
      <c r="BJ807" s="24"/>
      <c r="BK807" s="24"/>
      <c r="BL807" s="25"/>
      <c r="BM807" s="25"/>
      <c r="BN807" s="25"/>
    </row>
    <row r="808" spans="1:66" ht="13.5" customHeight="1" x14ac:dyDescent="0.2">
      <c r="A808" s="22"/>
      <c r="B808" s="23"/>
      <c r="C808" s="23"/>
      <c r="D808" s="24"/>
      <c r="E808" s="24"/>
      <c r="F808" s="24"/>
      <c r="G808" s="24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7"/>
      <c r="AN808" s="25"/>
      <c r="AO808" s="25"/>
      <c r="AP808" s="28"/>
      <c r="AQ808" s="25"/>
      <c r="AR808" s="25"/>
      <c r="AS808" s="28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F808" s="25"/>
      <c r="BG808" s="25"/>
      <c r="BH808" s="25"/>
      <c r="BI808" s="25"/>
      <c r="BJ808" s="24"/>
      <c r="BK808" s="24"/>
      <c r="BL808" s="25"/>
      <c r="BM808" s="25"/>
      <c r="BN808" s="25"/>
    </row>
    <row r="809" spans="1:66" ht="13.5" customHeight="1" x14ac:dyDescent="0.2">
      <c r="A809" s="22"/>
      <c r="B809" s="23"/>
      <c r="C809" s="23"/>
      <c r="D809" s="24"/>
      <c r="E809" s="24"/>
      <c r="F809" s="24"/>
      <c r="G809" s="24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7"/>
      <c r="AN809" s="25"/>
      <c r="AO809" s="25"/>
      <c r="AP809" s="28"/>
      <c r="AQ809" s="25"/>
      <c r="AR809" s="25"/>
      <c r="AS809" s="28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F809" s="25"/>
      <c r="BG809" s="25"/>
      <c r="BH809" s="25"/>
      <c r="BI809" s="25"/>
      <c r="BJ809" s="24"/>
      <c r="BK809" s="24"/>
      <c r="BL809" s="25"/>
      <c r="BM809" s="25"/>
      <c r="BN809" s="25"/>
    </row>
    <row r="810" spans="1:66" ht="13.5" customHeight="1" x14ac:dyDescent="0.2">
      <c r="A810" s="22"/>
      <c r="B810" s="23"/>
      <c r="C810" s="23"/>
      <c r="D810" s="24"/>
      <c r="E810" s="24"/>
      <c r="F810" s="24"/>
      <c r="G810" s="24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7"/>
      <c r="AN810" s="25"/>
      <c r="AO810" s="25"/>
      <c r="AP810" s="28"/>
      <c r="AQ810" s="25"/>
      <c r="AR810" s="25"/>
      <c r="AS810" s="28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F810" s="25"/>
      <c r="BG810" s="25"/>
      <c r="BH810" s="25"/>
      <c r="BI810" s="25"/>
      <c r="BJ810" s="24"/>
      <c r="BK810" s="24"/>
      <c r="BL810" s="25"/>
      <c r="BM810" s="25"/>
      <c r="BN810" s="25"/>
    </row>
    <row r="811" spans="1:66" ht="13.5" customHeight="1" x14ac:dyDescent="0.2">
      <c r="A811" s="22"/>
      <c r="B811" s="23"/>
      <c r="C811" s="23"/>
      <c r="D811" s="24"/>
      <c r="E811" s="24"/>
      <c r="F811" s="24"/>
      <c r="G811" s="24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7"/>
      <c r="AN811" s="25"/>
      <c r="AO811" s="25"/>
      <c r="AP811" s="28"/>
      <c r="AQ811" s="25"/>
      <c r="AR811" s="25"/>
      <c r="AS811" s="28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F811" s="25"/>
      <c r="BG811" s="25"/>
      <c r="BH811" s="25"/>
      <c r="BI811" s="25"/>
      <c r="BJ811" s="24"/>
      <c r="BK811" s="24"/>
      <c r="BL811" s="25"/>
      <c r="BM811" s="25"/>
      <c r="BN811" s="25"/>
    </row>
    <row r="812" spans="1:66" ht="13.5" customHeight="1" x14ac:dyDescent="0.2">
      <c r="A812" s="22"/>
      <c r="B812" s="23"/>
      <c r="C812" s="23"/>
      <c r="D812" s="24"/>
      <c r="E812" s="24"/>
      <c r="F812" s="24"/>
      <c r="G812" s="24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7"/>
      <c r="AN812" s="25"/>
      <c r="AO812" s="25"/>
      <c r="AP812" s="28"/>
      <c r="AQ812" s="25"/>
      <c r="AR812" s="25"/>
      <c r="AS812" s="28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F812" s="25"/>
      <c r="BG812" s="25"/>
      <c r="BH812" s="25"/>
      <c r="BI812" s="25"/>
      <c r="BJ812" s="24"/>
      <c r="BK812" s="24"/>
      <c r="BL812" s="25"/>
      <c r="BM812" s="25"/>
      <c r="BN812" s="25"/>
    </row>
    <row r="813" spans="1:66" ht="13.5" customHeight="1" x14ac:dyDescent="0.2">
      <c r="A813" s="22"/>
      <c r="B813" s="23"/>
      <c r="C813" s="23"/>
      <c r="D813" s="24"/>
      <c r="E813" s="24"/>
      <c r="F813" s="24"/>
      <c r="G813" s="24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7"/>
      <c r="AN813" s="25"/>
      <c r="AO813" s="25"/>
      <c r="AP813" s="28"/>
      <c r="AQ813" s="25"/>
      <c r="AR813" s="25"/>
      <c r="AS813" s="28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F813" s="25"/>
      <c r="BG813" s="25"/>
      <c r="BH813" s="25"/>
      <c r="BI813" s="25"/>
      <c r="BJ813" s="24"/>
      <c r="BK813" s="24"/>
      <c r="BL813" s="25"/>
      <c r="BM813" s="25"/>
      <c r="BN813" s="25"/>
    </row>
    <row r="814" spans="1:66" ht="13.5" customHeight="1" x14ac:dyDescent="0.2">
      <c r="A814" s="22"/>
      <c r="B814" s="23"/>
      <c r="C814" s="23"/>
      <c r="D814" s="24"/>
      <c r="E814" s="24"/>
      <c r="F814" s="24"/>
      <c r="G814" s="24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7"/>
      <c r="AN814" s="25"/>
      <c r="AO814" s="25"/>
      <c r="AP814" s="28"/>
      <c r="AQ814" s="25"/>
      <c r="AR814" s="25"/>
      <c r="AS814" s="28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F814" s="25"/>
      <c r="BG814" s="25"/>
      <c r="BH814" s="25"/>
      <c r="BI814" s="25"/>
      <c r="BJ814" s="24"/>
      <c r="BK814" s="24"/>
      <c r="BL814" s="25"/>
      <c r="BM814" s="25"/>
      <c r="BN814" s="25"/>
    </row>
    <row r="815" spans="1:66" ht="13.5" customHeight="1" x14ac:dyDescent="0.2">
      <c r="A815" s="22"/>
      <c r="B815" s="23"/>
      <c r="C815" s="23"/>
      <c r="D815" s="24"/>
      <c r="E815" s="24"/>
      <c r="F815" s="24"/>
      <c r="G815" s="24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7"/>
      <c r="AN815" s="25"/>
      <c r="AO815" s="25"/>
      <c r="AP815" s="28"/>
      <c r="AQ815" s="25"/>
      <c r="AR815" s="25"/>
      <c r="AS815" s="28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F815" s="25"/>
      <c r="BG815" s="25"/>
      <c r="BH815" s="25"/>
      <c r="BI815" s="25"/>
      <c r="BJ815" s="24"/>
      <c r="BK815" s="24"/>
      <c r="BL815" s="25"/>
      <c r="BM815" s="25"/>
      <c r="BN815" s="25"/>
    </row>
    <row r="816" spans="1:66" ht="13.5" customHeight="1" x14ac:dyDescent="0.2">
      <c r="A816" s="22"/>
      <c r="B816" s="23"/>
      <c r="C816" s="23"/>
      <c r="D816" s="24"/>
      <c r="E816" s="24"/>
      <c r="F816" s="24"/>
      <c r="G816" s="24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7"/>
      <c r="AN816" s="25"/>
      <c r="AO816" s="25"/>
      <c r="AP816" s="28"/>
      <c r="AQ816" s="25"/>
      <c r="AR816" s="25"/>
      <c r="AS816" s="28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F816" s="25"/>
      <c r="BG816" s="25"/>
      <c r="BH816" s="25"/>
      <c r="BI816" s="25"/>
      <c r="BJ816" s="24"/>
      <c r="BK816" s="24"/>
      <c r="BL816" s="25"/>
      <c r="BM816" s="25"/>
      <c r="BN816" s="25"/>
    </row>
    <row r="817" spans="1:66" ht="13.5" customHeight="1" x14ac:dyDescent="0.2">
      <c r="A817" s="22"/>
      <c r="B817" s="23"/>
      <c r="C817" s="23"/>
      <c r="D817" s="24"/>
      <c r="E817" s="24"/>
      <c r="F817" s="24"/>
      <c r="G817" s="24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7"/>
      <c r="AN817" s="25"/>
      <c r="AO817" s="25"/>
      <c r="AP817" s="28"/>
      <c r="AQ817" s="25"/>
      <c r="AR817" s="25"/>
      <c r="AS817" s="28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F817" s="25"/>
      <c r="BG817" s="25"/>
      <c r="BH817" s="25"/>
      <c r="BI817" s="25"/>
      <c r="BJ817" s="24"/>
      <c r="BK817" s="24"/>
      <c r="BL817" s="25"/>
      <c r="BM817" s="25"/>
      <c r="BN817" s="25"/>
    </row>
    <row r="818" spans="1:66" ht="13.5" customHeight="1" x14ac:dyDescent="0.2">
      <c r="A818" s="22"/>
      <c r="B818" s="23"/>
      <c r="C818" s="23"/>
      <c r="D818" s="24"/>
      <c r="E818" s="24"/>
      <c r="F818" s="24"/>
      <c r="G818" s="24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7"/>
      <c r="AN818" s="25"/>
      <c r="AO818" s="25"/>
      <c r="AP818" s="28"/>
      <c r="AQ818" s="25"/>
      <c r="AR818" s="25"/>
      <c r="AS818" s="28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F818" s="25"/>
      <c r="BG818" s="25"/>
      <c r="BH818" s="25"/>
      <c r="BI818" s="25"/>
      <c r="BJ818" s="24"/>
      <c r="BK818" s="24"/>
      <c r="BL818" s="25"/>
      <c r="BM818" s="25"/>
      <c r="BN818" s="25"/>
    </row>
    <row r="819" spans="1:66" ht="13.5" customHeight="1" x14ac:dyDescent="0.2">
      <c r="A819" s="22"/>
      <c r="B819" s="23"/>
      <c r="C819" s="23"/>
      <c r="D819" s="24"/>
      <c r="E819" s="24"/>
      <c r="F819" s="24"/>
      <c r="G819" s="24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7"/>
      <c r="AN819" s="25"/>
      <c r="AO819" s="25"/>
      <c r="AP819" s="28"/>
      <c r="AQ819" s="25"/>
      <c r="AR819" s="25"/>
      <c r="AS819" s="28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F819" s="25"/>
      <c r="BG819" s="25"/>
      <c r="BH819" s="25"/>
      <c r="BI819" s="25"/>
      <c r="BJ819" s="24"/>
      <c r="BK819" s="24"/>
      <c r="BL819" s="25"/>
      <c r="BM819" s="25"/>
      <c r="BN819" s="25"/>
    </row>
    <row r="820" spans="1:66" ht="13.5" customHeight="1" x14ac:dyDescent="0.2">
      <c r="A820" s="22"/>
      <c r="B820" s="23"/>
      <c r="C820" s="23"/>
      <c r="D820" s="24"/>
      <c r="E820" s="24"/>
      <c r="F820" s="24"/>
      <c r="G820" s="24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7"/>
      <c r="AN820" s="25"/>
      <c r="AO820" s="25"/>
      <c r="AP820" s="28"/>
      <c r="AQ820" s="25"/>
      <c r="AR820" s="25"/>
      <c r="AS820" s="28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F820" s="25"/>
      <c r="BG820" s="25"/>
      <c r="BH820" s="25"/>
      <c r="BI820" s="25"/>
      <c r="BJ820" s="24"/>
      <c r="BK820" s="24"/>
      <c r="BL820" s="25"/>
      <c r="BM820" s="25"/>
      <c r="BN820" s="25"/>
    </row>
    <row r="821" spans="1:66" ht="13.5" customHeight="1" x14ac:dyDescent="0.2">
      <c r="A821" s="22"/>
      <c r="B821" s="23"/>
      <c r="C821" s="23"/>
      <c r="D821" s="24"/>
      <c r="E821" s="24"/>
      <c r="F821" s="24"/>
      <c r="G821" s="24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7"/>
      <c r="AN821" s="25"/>
      <c r="AO821" s="25"/>
      <c r="AP821" s="28"/>
      <c r="AQ821" s="25"/>
      <c r="AR821" s="25"/>
      <c r="AS821" s="28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F821" s="25"/>
      <c r="BG821" s="25"/>
      <c r="BH821" s="25"/>
      <c r="BI821" s="25"/>
      <c r="BJ821" s="24"/>
      <c r="BK821" s="24"/>
      <c r="BL821" s="25"/>
      <c r="BM821" s="25"/>
      <c r="BN821" s="25"/>
    </row>
    <row r="822" spans="1:66" ht="13.5" customHeight="1" x14ac:dyDescent="0.2">
      <c r="A822" s="22"/>
      <c r="B822" s="23"/>
      <c r="C822" s="23"/>
      <c r="D822" s="24"/>
      <c r="E822" s="24"/>
      <c r="F822" s="24"/>
      <c r="G822" s="24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7"/>
      <c r="AN822" s="25"/>
      <c r="AO822" s="25"/>
      <c r="AP822" s="28"/>
      <c r="AQ822" s="25"/>
      <c r="AR822" s="25"/>
      <c r="AS822" s="28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F822" s="25"/>
      <c r="BG822" s="25"/>
      <c r="BH822" s="25"/>
      <c r="BI822" s="25"/>
      <c r="BJ822" s="24"/>
      <c r="BK822" s="24"/>
      <c r="BL822" s="25"/>
      <c r="BM822" s="25"/>
      <c r="BN822" s="25"/>
    </row>
    <row r="823" spans="1:66" ht="13.5" customHeight="1" x14ac:dyDescent="0.2">
      <c r="A823" s="22"/>
      <c r="B823" s="23"/>
      <c r="C823" s="23"/>
      <c r="D823" s="24"/>
      <c r="E823" s="24"/>
      <c r="F823" s="24"/>
      <c r="G823" s="24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7"/>
      <c r="AN823" s="25"/>
      <c r="AO823" s="25"/>
      <c r="AP823" s="28"/>
      <c r="AQ823" s="25"/>
      <c r="AR823" s="25"/>
      <c r="AS823" s="28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F823" s="25"/>
      <c r="BG823" s="25"/>
      <c r="BH823" s="25"/>
      <c r="BI823" s="25"/>
      <c r="BJ823" s="24"/>
      <c r="BK823" s="24"/>
      <c r="BL823" s="25"/>
      <c r="BM823" s="25"/>
      <c r="BN823" s="25"/>
    </row>
    <row r="824" spans="1:66" ht="13.5" customHeight="1" x14ac:dyDescent="0.2">
      <c r="A824" s="22"/>
      <c r="B824" s="23"/>
      <c r="C824" s="23"/>
      <c r="D824" s="24"/>
      <c r="E824" s="24"/>
      <c r="F824" s="24"/>
      <c r="G824" s="24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7"/>
      <c r="AN824" s="25"/>
      <c r="AO824" s="25"/>
      <c r="AP824" s="28"/>
      <c r="AQ824" s="25"/>
      <c r="AR824" s="25"/>
      <c r="AS824" s="28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F824" s="25"/>
      <c r="BG824" s="25"/>
      <c r="BH824" s="25"/>
      <c r="BI824" s="25"/>
      <c r="BJ824" s="24"/>
      <c r="BK824" s="24"/>
      <c r="BL824" s="25"/>
      <c r="BM824" s="25"/>
      <c r="BN824" s="25"/>
    </row>
    <row r="825" spans="1:66" ht="13.5" customHeight="1" x14ac:dyDescent="0.2">
      <c r="A825" s="22"/>
      <c r="B825" s="23"/>
      <c r="C825" s="23"/>
      <c r="D825" s="24"/>
      <c r="E825" s="24"/>
      <c r="F825" s="24"/>
      <c r="G825" s="24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7"/>
      <c r="AN825" s="25"/>
      <c r="AO825" s="25"/>
      <c r="AP825" s="28"/>
      <c r="AQ825" s="25"/>
      <c r="AR825" s="25"/>
      <c r="AS825" s="28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F825" s="25"/>
      <c r="BG825" s="25"/>
      <c r="BH825" s="25"/>
      <c r="BI825" s="25"/>
      <c r="BJ825" s="24"/>
      <c r="BK825" s="24"/>
      <c r="BL825" s="25"/>
      <c r="BM825" s="25"/>
      <c r="BN825" s="25"/>
    </row>
    <row r="826" spans="1:66" ht="13.5" customHeight="1" x14ac:dyDescent="0.2">
      <c r="A826" s="22"/>
      <c r="B826" s="23"/>
      <c r="C826" s="23"/>
      <c r="D826" s="24"/>
      <c r="E826" s="24"/>
      <c r="F826" s="24"/>
      <c r="G826" s="24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7"/>
      <c r="AN826" s="25"/>
      <c r="AO826" s="25"/>
      <c r="AP826" s="28"/>
      <c r="AQ826" s="25"/>
      <c r="AR826" s="25"/>
      <c r="AS826" s="28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F826" s="25"/>
      <c r="BG826" s="25"/>
      <c r="BH826" s="25"/>
      <c r="BI826" s="25"/>
      <c r="BJ826" s="24"/>
      <c r="BK826" s="24"/>
      <c r="BL826" s="25"/>
      <c r="BM826" s="25"/>
      <c r="BN826" s="25"/>
    </row>
    <row r="827" spans="1:66" ht="13.5" customHeight="1" x14ac:dyDescent="0.2">
      <c r="A827" s="22"/>
      <c r="B827" s="23"/>
      <c r="C827" s="23"/>
      <c r="D827" s="24"/>
      <c r="E827" s="24"/>
      <c r="F827" s="24"/>
      <c r="G827" s="24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7"/>
      <c r="AN827" s="25"/>
      <c r="AO827" s="25"/>
      <c r="AP827" s="28"/>
      <c r="AQ827" s="25"/>
      <c r="AR827" s="25"/>
      <c r="AS827" s="28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F827" s="25"/>
      <c r="BG827" s="25"/>
      <c r="BH827" s="25"/>
      <c r="BI827" s="25"/>
      <c r="BJ827" s="24"/>
      <c r="BK827" s="24"/>
      <c r="BL827" s="25"/>
      <c r="BM827" s="25"/>
      <c r="BN827" s="25"/>
    </row>
    <row r="828" spans="1:66" ht="13.5" customHeight="1" x14ac:dyDescent="0.2">
      <c r="A828" s="22"/>
      <c r="B828" s="23"/>
      <c r="C828" s="23"/>
      <c r="D828" s="24"/>
      <c r="E828" s="24"/>
      <c r="F828" s="24"/>
      <c r="G828" s="24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7"/>
      <c r="AN828" s="25"/>
      <c r="AO828" s="25"/>
      <c r="AP828" s="28"/>
      <c r="AQ828" s="25"/>
      <c r="AR828" s="25"/>
      <c r="AS828" s="28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F828" s="25"/>
      <c r="BG828" s="25"/>
      <c r="BH828" s="25"/>
      <c r="BI828" s="25"/>
      <c r="BJ828" s="24"/>
      <c r="BK828" s="24"/>
      <c r="BL828" s="25"/>
      <c r="BM828" s="25"/>
      <c r="BN828" s="25"/>
    </row>
    <row r="829" spans="1:66" ht="13.5" customHeight="1" x14ac:dyDescent="0.2">
      <c r="A829" s="22"/>
      <c r="B829" s="23"/>
      <c r="C829" s="23"/>
      <c r="D829" s="24"/>
      <c r="E829" s="24"/>
      <c r="F829" s="24"/>
      <c r="G829" s="24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7"/>
      <c r="AN829" s="25"/>
      <c r="AO829" s="25"/>
      <c r="AP829" s="28"/>
      <c r="AQ829" s="25"/>
      <c r="AR829" s="25"/>
      <c r="AS829" s="28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F829" s="25"/>
      <c r="BG829" s="25"/>
      <c r="BH829" s="25"/>
      <c r="BI829" s="25"/>
      <c r="BJ829" s="24"/>
      <c r="BK829" s="24"/>
      <c r="BL829" s="25"/>
      <c r="BM829" s="25"/>
      <c r="BN829" s="25"/>
    </row>
    <row r="830" spans="1:66" ht="13.5" customHeight="1" x14ac:dyDescent="0.2">
      <c r="A830" s="22"/>
      <c r="B830" s="23"/>
      <c r="C830" s="23"/>
      <c r="D830" s="24"/>
      <c r="E830" s="24"/>
      <c r="F830" s="24"/>
      <c r="G830" s="24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7"/>
      <c r="AN830" s="25"/>
      <c r="AO830" s="25"/>
      <c r="AP830" s="28"/>
      <c r="AQ830" s="25"/>
      <c r="AR830" s="25"/>
      <c r="AS830" s="28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F830" s="25"/>
      <c r="BG830" s="25"/>
      <c r="BH830" s="25"/>
      <c r="BI830" s="25"/>
      <c r="BJ830" s="24"/>
      <c r="BK830" s="24"/>
      <c r="BL830" s="25"/>
      <c r="BM830" s="25"/>
      <c r="BN830" s="25"/>
    </row>
    <row r="831" spans="1:66" ht="13.5" customHeight="1" x14ac:dyDescent="0.2">
      <c r="A831" s="22"/>
      <c r="B831" s="23"/>
      <c r="C831" s="23"/>
      <c r="D831" s="24"/>
      <c r="E831" s="24"/>
      <c r="F831" s="24"/>
      <c r="G831" s="24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7"/>
      <c r="AN831" s="25"/>
      <c r="AO831" s="25"/>
      <c r="AP831" s="28"/>
      <c r="AQ831" s="25"/>
      <c r="AR831" s="25"/>
      <c r="AS831" s="28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F831" s="25"/>
      <c r="BG831" s="25"/>
      <c r="BH831" s="25"/>
      <c r="BI831" s="25"/>
      <c r="BJ831" s="24"/>
      <c r="BK831" s="24"/>
      <c r="BL831" s="25"/>
      <c r="BM831" s="25"/>
      <c r="BN831" s="25"/>
    </row>
    <row r="832" spans="1:66" ht="13.5" customHeight="1" x14ac:dyDescent="0.2">
      <c r="A832" s="22"/>
      <c r="B832" s="23"/>
      <c r="C832" s="23"/>
      <c r="D832" s="24"/>
      <c r="E832" s="24"/>
      <c r="F832" s="24"/>
      <c r="G832" s="24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7"/>
      <c r="AN832" s="25"/>
      <c r="AO832" s="25"/>
      <c r="AP832" s="28"/>
      <c r="AQ832" s="25"/>
      <c r="AR832" s="25"/>
      <c r="AS832" s="28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F832" s="25"/>
      <c r="BG832" s="25"/>
      <c r="BH832" s="25"/>
      <c r="BI832" s="25"/>
      <c r="BJ832" s="24"/>
      <c r="BK832" s="24"/>
      <c r="BL832" s="25"/>
      <c r="BM832" s="25"/>
      <c r="BN832" s="25"/>
    </row>
    <row r="833" spans="1:66" ht="13.5" customHeight="1" x14ac:dyDescent="0.2">
      <c r="A833" s="22"/>
      <c r="B833" s="23"/>
      <c r="C833" s="23"/>
      <c r="D833" s="24"/>
      <c r="E833" s="24"/>
      <c r="F833" s="24"/>
      <c r="G833" s="24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7"/>
      <c r="AN833" s="25"/>
      <c r="AO833" s="25"/>
      <c r="AP833" s="28"/>
      <c r="AQ833" s="25"/>
      <c r="AR833" s="25"/>
      <c r="AS833" s="28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F833" s="25"/>
      <c r="BG833" s="25"/>
      <c r="BH833" s="25"/>
      <c r="BI833" s="25"/>
      <c r="BJ833" s="24"/>
      <c r="BK833" s="24"/>
      <c r="BL833" s="25"/>
      <c r="BM833" s="25"/>
      <c r="BN833" s="25"/>
    </row>
    <row r="834" spans="1:66" ht="13.5" customHeight="1" x14ac:dyDescent="0.2">
      <c r="A834" s="22"/>
      <c r="B834" s="23"/>
      <c r="C834" s="23"/>
      <c r="D834" s="24"/>
      <c r="E834" s="24"/>
      <c r="F834" s="24"/>
      <c r="G834" s="24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7"/>
      <c r="AN834" s="25"/>
      <c r="AO834" s="25"/>
      <c r="AP834" s="28"/>
      <c r="AQ834" s="25"/>
      <c r="AR834" s="25"/>
      <c r="AS834" s="28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F834" s="25"/>
      <c r="BG834" s="25"/>
      <c r="BH834" s="25"/>
      <c r="BI834" s="25"/>
      <c r="BJ834" s="24"/>
      <c r="BK834" s="24"/>
      <c r="BL834" s="25"/>
      <c r="BM834" s="25"/>
      <c r="BN834" s="25"/>
    </row>
    <row r="835" spans="1:66" ht="13.5" customHeight="1" x14ac:dyDescent="0.2">
      <c r="A835" s="22"/>
      <c r="B835" s="23"/>
      <c r="C835" s="23"/>
      <c r="D835" s="24"/>
      <c r="E835" s="24"/>
      <c r="F835" s="24"/>
      <c r="G835" s="24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7"/>
      <c r="AN835" s="25"/>
      <c r="AO835" s="25"/>
      <c r="AP835" s="28"/>
      <c r="AQ835" s="25"/>
      <c r="AR835" s="25"/>
      <c r="AS835" s="28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F835" s="25"/>
      <c r="BG835" s="25"/>
      <c r="BH835" s="25"/>
      <c r="BI835" s="25"/>
      <c r="BJ835" s="24"/>
      <c r="BK835" s="24"/>
      <c r="BL835" s="25"/>
      <c r="BM835" s="25"/>
      <c r="BN835" s="25"/>
    </row>
    <row r="836" spans="1:66" ht="13.5" customHeight="1" x14ac:dyDescent="0.2">
      <c r="A836" s="22"/>
      <c r="B836" s="23"/>
      <c r="C836" s="23"/>
      <c r="D836" s="24"/>
      <c r="E836" s="24"/>
      <c r="F836" s="24"/>
      <c r="G836" s="24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7"/>
      <c r="AN836" s="25"/>
      <c r="AO836" s="25"/>
      <c r="AP836" s="28"/>
      <c r="AQ836" s="25"/>
      <c r="AR836" s="25"/>
      <c r="AS836" s="28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F836" s="25"/>
      <c r="BG836" s="25"/>
      <c r="BH836" s="25"/>
      <c r="BI836" s="25"/>
      <c r="BJ836" s="24"/>
      <c r="BK836" s="24"/>
      <c r="BL836" s="25"/>
      <c r="BM836" s="25"/>
      <c r="BN836" s="25"/>
    </row>
    <row r="837" spans="1:66" ht="13.5" customHeight="1" x14ac:dyDescent="0.2">
      <c r="A837" s="22"/>
      <c r="B837" s="23"/>
      <c r="C837" s="23"/>
      <c r="D837" s="24"/>
      <c r="E837" s="24"/>
      <c r="F837" s="24"/>
      <c r="G837" s="24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7"/>
      <c r="AN837" s="25"/>
      <c r="AO837" s="25"/>
      <c r="AP837" s="28"/>
      <c r="AQ837" s="25"/>
      <c r="AR837" s="25"/>
      <c r="AS837" s="28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F837" s="25"/>
      <c r="BG837" s="25"/>
      <c r="BH837" s="25"/>
      <c r="BI837" s="25"/>
      <c r="BJ837" s="24"/>
      <c r="BK837" s="24"/>
      <c r="BL837" s="25"/>
      <c r="BM837" s="25"/>
      <c r="BN837" s="25"/>
    </row>
    <row r="838" spans="1:66" ht="13.5" customHeight="1" x14ac:dyDescent="0.2">
      <c r="A838" s="22"/>
      <c r="B838" s="23"/>
      <c r="C838" s="23"/>
      <c r="D838" s="24"/>
      <c r="E838" s="24"/>
      <c r="F838" s="24"/>
      <c r="G838" s="24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7"/>
      <c r="AN838" s="25"/>
      <c r="AO838" s="25"/>
      <c r="AP838" s="28"/>
      <c r="AQ838" s="25"/>
      <c r="AR838" s="25"/>
      <c r="AS838" s="28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F838" s="25"/>
      <c r="BG838" s="25"/>
      <c r="BH838" s="25"/>
      <c r="BI838" s="25"/>
      <c r="BJ838" s="24"/>
      <c r="BK838" s="24"/>
      <c r="BL838" s="25"/>
      <c r="BM838" s="25"/>
      <c r="BN838" s="25"/>
    </row>
    <row r="839" spans="1:66" ht="13.5" customHeight="1" x14ac:dyDescent="0.2">
      <c r="A839" s="22"/>
      <c r="B839" s="23"/>
      <c r="C839" s="23"/>
      <c r="D839" s="24"/>
      <c r="E839" s="24"/>
      <c r="F839" s="24"/>
      <c r="G839" s="24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7"/>
      <c r="AN839" s="25"/>
      <c r="AO839" s="25"/>
      <c r="AP839" s="28"/>
      <c r="AQ839" s="25"/>
      <c r="AR839" s="25"/>
      <c r="AS839" s="28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F839" s="25"/>
      <c r="BG839" s="25"/>
      <c r="BH839" s="25"/>
      <c r="BI839" s="25"/>
      <c r="BJ839" s="24"/>
      <c r="BK839" s="24"/>
      <c r="BL839" s="25"/>
      <c r="BM839" s="25"/>
      <c r="BN839" s="25"/>
    </row>
    <row r="840" spans="1:66" ht="13.5" customHeight="1" x14ac:dyDescent="0.2">
      <c r="A840" s="22"/>
      <c r="B840" s="23"/>
      <c r="C840" s="23"/>
      <c r="D840" s="24"/>
      <c r="E840" s="24"/>
      <c r="F840" s="24"/>
      <c r="G840" s="24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7"/>
      <c r="AN840" s="25"/>
      <c r="AO840" s="25"/>
      <c r="AP840" s="28"/>
      <c r="AQ840" s="25"/>
      <c r="AR840" s="25"/>
      <c r="AS840" s="28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F840" s="25"/>
      <c r="BG840" s="25"/>
      <c r="BH840" s="25"/>
      <c r="BI840" s="25"/>
      <c r="BJ840" s="24"/>
      <c r="BK840" s="24"/>
      <c r="BL840" s="25"/>
      <c r="BM840" s="25"/>
      <c r="BN840" s="25"/>
    </row>
    <row r="841" spans="1:66" ht="13.5" customHeight="1" x14ac:dyDescent="0.2">
      <c r="A841" s="22"/>
      <c r="B841" s="23"/>
      <c r="C841" s="23"/>
      <c r="D841" s="24"/>
      <c r="E841" s="24"/>
      <c r="F841" s="24"/>
      <c r="G841" s="24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7"/>
      <c r="AN841" s="25"/>
      <c r="AO841" s="25"/>
      <c r="AP841" s="28"/>
      <c r="AQ841" s="25"/>
      <c r="AR841" s="25"/>
      <c r="AS841" s="28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F841" s="25"/>
      <c r="BG841" s="25"/>
      <c r="BH841" s="25"/>
      <c r="BI841" s="25"/>
      <c r="BJ841" s="24"/>
      <c r="BK841" s="24"/>
      <c r="BL841" s="25"/>
      <c r="BM841" s="25"/>
      <c r="BN841" s="25"/>
    </row>
    <row r="842" spans="1:66" ht="13.5" customHeight="1" x14ac:dyDescent="0.2">
      <c r="A842" s="22"/>
      <c r="B842" s="23"/>
      <c r="C842" s="23"/>
      <c r="D842" s="24"/>
      <c r="E842" s="24"/>
      <c r="F842" s="24"/>
      <c r="G842" s="24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7"/>
      <c r="AN842" s="25"/>
      <c r="AO842" s="25"/>
      <c r="AP842" s="28"/>
      <c r="AQ842" s="25"/>
      <c r="AR842" s="25"/>
      <c r="AS842" s="28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F842" s="25"/>
      <c r="BG842" s="25"/>
      <c r="BH842" s="25"/>
      <c r="BI842" s="25"/>
      <c r="BJ842" s="24"/>
      <c r="BK842" s="24"/>
      <c r="BL842" s="25"/>
      <c r="BM842" s="25"/>
      <c r="BN842" s="25"/>
    </row>
    <row r="843" spans="1:66" ht="13.5" customHeight="1" x14ac:dyDescent="0.2">
      <c r="A843" s="22"/>
      <c r="B843" s="23"/>
      <c r="C843" s="23"/>
      <c r="D843" s="24"/>
      <c r="E843" s="24"/>
      <c r="F843" s="24"/>
      <c r="G843" s="24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7"/>
      <c r="AN843" s="25"/>
      <c r="AO843" s="25"/>
      <c r="AP843" s="28"/>
      <c r="AQ843" s="25"/>
      <c r="AR843" s="25"/>
      <c r="AS843" s="28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F843" s="25"/>
      <c r="BG843" s="25"/>
      <c r="BH843" s="25"/>
      <c r="BI843" s="25"/>
      <c r="BJ843" s="24"/>
      <c r="BK843" s="24"/>
      <c r="BL843" s="25"/>
      <c r="BM843" s="25"/>
      <c r="BN843" s="25"/>
    </row>
    <row r="844" spans="1:66" ht="13.5" customHeight="1" x14ac:dyDescent="0.2">
      <c r="A844" s="22"/>
      <c r="B844" s="23"/>
      <c r="C844" s="23"/>
      <c r="D844" s="24"/>
      <c r="E844" s="24"/>
      <c r="F844" s="24"/>
      <c r="G844" s="24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7"/>
      <c r="AN844" s="25"/>
      <c r="AO844" s="25"/>
      <c r="AP844" s="28"/>
      <c r="AQ844" s="25"/>
      <c r="AR844" s="25"/>
      <c r="AS844" s="28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F844" s="25"/>
      <c r="BG844" s="25"/>
      <c r="BH844" s="25"/>
      <c r="BI844" s="25"/>
      <c r="BJ844" s="24"/>
      <c r="BK844" s="24"/>
      <c r="BL844" s="25"/>
      <c r="BM844" s="25"/>
      <c r="BN844" s="25"/>
    </row>
    <row r="845" spans="1:66" ht="13.5" customHeight="1" x14ac:dyDescent="0.2">
      <c r="A845" s="22"/>
      <c r="B845" s="23"/>
      <c r="C845" s="23"/>
      <c r="D845" s="24"/>
      <c r="E845" s="24"/>
      <c r="F845" s="24"/>
      <c r="G845" s="24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7"/>
      <c r="AN845" s="25"/>
      <c r="AO845" s="25"/>
      <c r="AP845" s="28"/>
      <c r="AQ845" s="25"/>
      <c r="AR845" s="25"/>
      <c r="AS845" s="28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F845" s="25"/>
      <c r="BG845" s="25"/>
      <c r="BH845" s="25"/>
      <c r="BI845" s="25"/>
      <c r="BJ845" s="24"/>
      <c r="BK845" s="24"/>
      <c r="BL845" s="25"/>
      <c r="BM845" s="25"/>
      <c r="BN845" s="25"/>
    </row>
    <row r="846" spans="1:66" ht="13.5" customHeight="1" x14ac:dyDescent="0.2">
      <c r="A846" s="22"/>
      <c r="B846" s="23"/>
      <c r="C846" s="23"/>
      <c r="D846" s="24"/>
      <c r="E846" s="24"/>
      <c r="F846" s="24"/>
      <c r="G846" s="24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7"/>
      <c r="AN846" s="25"/>
      <c r="AO846" s="25"/>
      <c r="AP846" s="28"/>
      <c r="AQ846" s="25"/>
      <c r="AR846" s="25"/>
      <c r="AS846" s="28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F846" s="25"/>
      <c r="BG846" s="25"/>
      <c r="BH846" s="25"/>
      <c r="BI846" s="25"/>
      <c r="BJ846" s="24"/>
      <c r="BK846" s="24"/>
      <c r="BL846" s="25"/>
      <c r="BM846" s="25"/>
      <c r="BN846" s="25"/>
    </row>
    <row r="847" spans="1:66" ht="13.5" customHeight="1" x14ac:dyDescent="0.2">
      <c r="A847" s="22"/>
      <c r="B847" s="23"/>
      <c r="C847" s="23"/>
      <c r="D847" s="24"/>
      <c r="E847" s="24"/>
      <c r="F847" s="24"/>
      <c r="G847" s="24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7"/>
      <c r="AN847" s="25"/>
      <c r="AO847" s="25"/>
      <c r="AP847" s="28"/>
      <c r="AQ847" s="25"/>
      <c r="AR847" s="25"/>
      <c r="AS847" s="28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F847" s="25"/>
      <c r="BG847" s="25"/>
      <c r="BH847" s="25"/>
      <c r="BI847" s="25"/>
      <c r="BJ847" s="24"/>
      <c r="BK847" s="24"/>
      <c r="BL847" s="25"/>
      <c r="BM847" s="25"/>
      <c r="BN847" s="25"/>
    </row>
    <row r="848" spans="1:66" ht="13.5" customHeight="1" x14ac:dyDescent="0.2">
      <c r="A848" s="22"/>
      <c r="B848" s="23"/>
      <c r="C848" s="23"/>
      <c r="D848" s="24"/>
      <c r="E848" s="24"/>
      <c r="F848" s="24"/>
      <c r="G848" s="24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7"/>
      <c r="AN848" s="25"/>
      <c r="AO848" s="25"/>
      <c r="AP848" s="28"/>
      <c r="AQ848" s="25"/>
      <c r="AR848" s="25"/>
      <c r="AS848" s="28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F848" s="25"/>
      <c r="BG848" s="25"/>
      <c r="BH848" s="25"/>
      <c r="BI848" s="25"/>
      <c r="BJ848" s="24"/>
      <c r="BK848" s="24"/>
      <c r="BL848" s="25"/>
      <c r="BM848" s="25"/>
      <c r="BN848" s="25"/>
    </row>
    <row r="849" spans="1:66" ht="13.5" customHeight="1" x14ac:dyDescent="0.2">
      <c r="A849" s="22"/>
      <c r="B849" s="23"/>
      <c r="C849" s="23"/>
      <c r="D849" s="24"/>
      <c r="E849" s="24"/>
      <c r="F849" s="24"/>
      <c r="G849" s="24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7"/>
      <c r="AN849" s="25"/>
      <c r="AO849" s="25"/>
      <c r="AP849" s="28"/>
      <c r="AQ849" s="25"/>
      <c r="AR849" s="25"/>
      <c r="AS849" s="28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F849" s="25"/>
      <c r="BG849" s="25"/>
      <c r="BH849" s="25"/>
      <c r="BI849" s="25"/>
      <c r="BJ849" s="24"/>
      <c r="BK849" s="24"/>
      <c r="BL849" s="25"/>
      <c r="BM849" s="25"/>
      <c r="BN849" s="25"/>
    </row>
    <row r="850" spans="1:66" ht="13.5" customHeight="1" x14ac:dyDescent="0.2">
      <c r="A850" s="22"/>
      <c r="B850" s="23"/>
      <c r="C850" s="23"/>
      <c r="D850" s="24"/>
      <c r="E850" s="24"/>
      <c r="F850" s="24"/>
      <c r="G850" s="24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7"/>
      <c r="AN850" s="25"/>
      <c r="AO850" s="25"/>
      <c r="AP850" s="28"/>
      <c r="AQ850" s="25"/>
      <c r="AR850" s="25"/>
      <c r="AS850" s="28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F850" s="25"/>
      <c r="BG850" s="25"/>
      <c r="BH850" s="25"/>
      <c r="BI850" s="25"/>
      <c r="BJ850" s="24"/>
      <c r="BK850" s="24"/>
      <c r="BL850" s="25"/>
      <c r="BM850" s="25"/>
      <c r="BN850" s="25"/>
    </row>
    <row r="851" spans="1:66" ht="13.5" customHeight="1" x14ac:dyDescent="0.2">
      <c r="A851" s="22"/>
      <c r="B851" s="23"/>
      <c r="C851" s="23"/>
      <c r="D851" s="24"/>
      <c r="E851" s="24"/>
      <c r="F851" s="24"/>
      <c r="G851" s="24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7"/>
      <c r="AN851" s="25"/>
      <c r="AO851" s="25"/>
      <c r="AP851" s="28"/>
      <c r="AQ851" s="25"/>
      <c r="AR851" s="25"/>
      <c r="AS851" s="28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F851" s="25"/>
      <c r="BG851" s="25"/>
      <c r="BH851" s="25"/>
      <c r="BI851" s="25"/>
      <c r="BJ851" s="24"/>
      <c r="BK851" s="24"/>
      <c r="BL851" s="25"/>
      <c r="BM851" s="25"/>
      <c r="BN851" s="25"/>
    </row>
    <row r="852" spans="1:66" ht="13.5" customHeight="1" x14ac:dyDescent="0.2">
      <c r="A852" s="22"/>
      <c r="B852" s="23"/>
      <c r="C852" s="23"/>
      <c r="D852" s="24"/>
      <c r="E852" s="24"/>
      <c r="F852" s="24"/>
      <c r="G852" s="24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7"/>
      <c r="AN852" s="25"/>
      <c r="AO852" s="25"/>
      <c r="AP852" s="28"/>
      <c r="AQ852" s="25"/>
      <c r="AR852" s="25"/>
      <c r="AS852" s="28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F852" s="25"/>
      <c r="BG852" s="25"/>
      <c r="BH852" s="25"/>
      <c r="BI852" s="25"/>
      <c r="BJ852" s="24"/>
      <c r="BK852" s="24"/>
      <c r="BL852" s="25"/>
      <c r="BM852" s="25"/>
      <c r="BN852" s="25"/>
    </row>
    <row r="853" spans="1:66" ht="13.5" customHeight="1" x14ac:dyDescent="0.2">
      <c r="A853" s="22"/>
      <c r="B853" s="23"/>
      <c r="C853" s="23"/>
      <c r="D853" s="24"/>
      <c r="E853" s="24"/>
      <c r="F853" s="24"/>
      <c r="G853" s="24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7"/>
      <c r="AN853" s="25"/>
      <c r="AO853" s="25"/>
      <c r="AP853" s="28"/>
      <c r="AQ853" s="25"/>
      <c r="AR853" s="25"/>
      <c r="AS853" s="28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F853" s="25"/>
      <c r="BG853" s="25"/>
      <c r="BH853" s="25"/>
      <c r="BI853" s="25"/>
      <c r="BJ853" s="24"/>
      <c r="BK853" s="24"/>
      <c r="BL853" s="25"/>
      <c r="BM853" s="25"/>
      <c r="BN853" s="25"/>
    </row>
    <row r="854" spans="1:66" ht="13.5" customHeight="1" x14ac:dyDescent="0.2">
      <c r="A854" s="22"/>
      <c r="B854" s="23"/>
      <c r="C854" s="23"/>
      <c r="D854" s="24"/>
      <c r="E854" s="24"/>
      <c r="F854" s="24"/>
      <c r="G854" s="24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7"/>
      <c r="AN854" s="25"/>
      <c r="AO854" s="25"/>
      <c r="AP854" s="28"/>
      <c r="AQ854" s="25"/>
      <c r="AR854" s="25"/>
      <c r="AS854" s="28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F854" s="25"/>
      <c r="BG854" s="25"/>
      <c r="BH854" s="25"/>
      <c r="BI854" s="25"/>
      <c r="BJ854" s="24"/>
      <c r="BK854" s="24"/>
      <c r="BL854" s="25"/>
      <c r="BM854" s="25"/>
      <c r="BN854" s="25"/>
    </row>
    <row r="855" spans="1:66" ht="13.5" customHeight="1" x14ac:dyDescent="0.2">
      <c r="A855" s="22"/>
      <c r="B855" s="23"/>
      <c r="C855" s="23"/>
      <c r="D855" s="24"/>
      <c r="E855" s="24"/>
      <c r="F855" s="24"/>
      <c r="G855" s="24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7"/>
      <c r="AN855" s="25"/>
      <c r="AO855" s="25"/>
      <c r="AP855" s="28"/>
      <c r="AQ855" s="25"/>
      <c r="AR855" s="25"/>
      <c r="AS855" s="28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F855" s="25"/>
      <c r="BG855" s="25"/>
      <c r="BH855" s="25"/>
      <c r="BI855" s="25"/>
      <c r="BJ855" s="24"/>
      <c r="BK855" s="24"/>
      <c r="BL855" s="25"/>
      <c r="BM855" s="25"/>
      <c r="BN855" s="25"/>
    </row>
    <row r="856" spans="1:66" ht="13.5" customHeight="1" x14ac:dyDescent="0.2">
      <c r="A856" s="22"/>
      <c r="B856" s="23"/>
      <c r="C856" s="23"/>
      <c r="D856" s="24"/>
      <c r="E856" s="24"/>
      <c r="F856" s="24"/>
      <c r="G856" s="24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7"/>
      <c r="AN856" s="25"/>
      <c r="AO856" s="25"/>
      <c r="AP856" s="28"/>
      <c r="AQ856" s="25"/>
      <c r="AR856" s="25"/>
      <c r="AS856" s="28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F856" s="25"/>
      <c r="BG856" s="25"/>
      <c r="BH856" s="25"/>
      <c r="BI856" s="25"/>
      <c r="BJ856" s="24"/>
      <c r="BK856" s="24"/>
      <c r="BL856" s="25"/>
      <c r="BM856" s="25"/>
      <c r="BN856" s="25"/>
    </row>
    <row r="857" spans="1:66" ht="13.5" customHeight="1" x14ac:dyDescent="0.2">
      <c r="A857" s="22"/>
      <c r="B857" s="23"/>
      <c r="C857" s="23"/>
      <c r="D857" s="24"/>
      <c r="E857" s="24"/>
      <c r="F857" s="24"/>
      <c r="G857" s="24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7"/>
      <c r="AN857" s="25"/>
      <c r="AO857" s="25"/>
      <c r="AP857" s="28"/>
      <c r="AQ857" s="25"/>
      <c r="AR857" s="25"/>
      <c r="AS857" s="28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F857" s="25"/>
      <c r="BG857" s="25"/>
      <c r="BH857" s="25"/>
      <c r="BI857" s="25"/>
      <c r="BJ857" s="24"/>
      <c r="BK857" s="24"/>
      <c r="BL857" s="25"/>
      <c r="BM857" s="25"/>
      <c r="BN857" s="25"/>
    </row>
    <row r="858" spans="1:66" ht="13.5" customHeight="1" x14ac:dyDescent="0.2">
      <c r="A858" s="22"/>
      <c r="B858" s="23"/>
      <c r="C858" s="23"/>
      <c r="D858" s="24"/>
      <c r="E858" s="24"/>
      <c r="F858" s="24"/>
      <c r="G858" s="24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7"/>
      <c r="AN858" s="25"/>
      <c r="AO858" s="25"/>
      <c r="AP858" s="28"/>
      <c r="AQ858" s="25"/>
      <c r="AR858" s="25"/>
      <c r="AS858" s="28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F858" s="25"/>
      <c r="BG858" s="25"/>
      <c r="BH858" s="25"/>
      <c r="BI858" s="25"/>
      <c r="BJ858" s="24"/>
      <c r="BK858" s="24"/>
      <c r="BL858" s="25"/>
      <c r="BM858" s="25"/>
      <c r="BN858" s="25"/>
    </row>
    <row r="859" spans="1:66" ht="13.5" customHeight="1" x14ac:dyDescent="0.2">
      <c r="A859" s="22"/>
      <c r="B859" s="23"/>
      <c r="C859" s="23"/>
      <c r="D859" s="24"/>
      <c r="E859" s="24"/>
      <c r="F859" s="24"/>
      <c r="G859" s="24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7"/>
      <c r="AN859" s="25"/>
      <c r="AO859" s="25"/>
      <c r="AP859" s="28"/>
      <c r="AQ859" s="25"/>
      <c r="AR859" s="25"/>
      <c r="AS859" s="28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F859" s="25"/>
      <c r="BG859" s="25"/>
      <c r="BH859" s="25"/>
      <c r="BI859" s="25"/>
      <c r="BJ859" s="24"/>
      <c r="BK859" s="24"/>
      <c r="BL859" s="25"/>
      <c r="BM859" s="25"/>
      <c r="BN859" s="25"/>
    </row>
    <row r="860" spans="1:66" ht="13.5" customHeight="1" x14ac:dyDescent="0.2">
      <c r="A860" s="22"/>
      <c r="B860" s="23"/>
      <c r="C860" s="23"/>
      <c r="D860" s="24"/>
      <c r="E860" s="24"/>
      <c r="F860" s="24"/>
      <c r="G860" s="24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7"/>
      <c r="AN860" s="25"/>
      <c r="AO860" s="25"/>
      <c r="AP860" s="28"/>
      <c r="AQ860" s="25"/>
      <c r="AR860" s="25"/>
      <c r="AS860" s="28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F860" s="25"/>
      <c r="BG860" s="25"/>
      <c r="BH860" s="25"/>
      <c r="BI860" s="25"/>
      <c r="BJ860" s="24"/>
      <c r="BK860" s="24"/>
      <c r="BL860" s="25"/>
      <c r="BM860" s="25"/>
      <c r="BN860" s="25"/>
    </row>
    <row r="861" spans="1:66" ht="13.5" customHeight="1" x14ac:dyDescent="0.2">
      <c r="A861" s="22"/>
      <c r="B861" s="23"/>
      <c r="C861" s="23"/>
      <c r="D861" s="24"/>
      <c r="E861" s="24"/>
      <c r="F861" s="24"/>
      <c r="G861" s="24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7"/>
      <c r="AN861" s="25"/>
      <c r="AO861" s="25"/>
      <c r="AP861" s="28"/>
      <c r="AQ861" s="25"/>
      <c r="AR861" s="25"/>
      <c r="AS861" s="28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F861" s="25"/>
      <c r="BG861" s="25"/>
      <c r="BH861" s="25"/>
      <c r="BI861" s="25"/>
      <c r="BJ861" s="24"/>
      <c r="BK861" s="24"/>
      <c r="BL861" s="25"/>
      <c r="BM861" s="25"/>
      <c r="BN861" s="25"/>
    </row>
    <row r="862" spans="1:66" ht="13.5" customHeight="1" x14ac:dyDescent="0.2">
      <c r="A862" s="22"/>
      <c r="B862" s="23"/>
      <c r="C862" s="23"/>
      <c r="D862" s="24"/>
      <c r="E862" s="24"/>
      <c r="F862" s="24"/>
      <c r="G862" s="24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7"/>
      <c r="AN862" s="25"/>
      <c r="AO862" s="25"/>
      <c r="AP862" s="28"/>
      <c r="AQ862" s="25"/>
      <c r="AR862" s="25"/>
      <c r="AS862" s="28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F862" s="25"/>
      <c r="BG862" s="25"/>
      <c r="BH862" s="25"/>
      <c r="BI862" s="25"/>
      <c r="BJ862" s="24"/>
      <c r="BK862" s="24"/>
      <c r="BL862" s="25"/>
      <c r="BM862" s="25"/>
      <c r="BN862" s="25"/>
    </row>
    <row r="863" spans="1:66" ht="13.5" customHeight="1" x14ac:dyDescent="0.2">
      <c r="A863" s="22"/>
      <c r="B863" s="23"/>
      <c r="C863" s="23"/>
      <c r="D863" s="24"/>
      <c r="E863" s="24"/>
      <c r="F863" s="24"/>
      <c r="G863" s="24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7"/>
      <c r="AN863" s="25"/>
      <c r="AO863" s="25"/>
      <c r="AP863" s="28"/>
      <c r="AQ863" s="25"/>
      <c r="AR863" s="25"/>
      <c r="AS863" s="28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F863" s="25"/>
      <c r="BG863" s="25"/>
      <c r="BH863" s="25"/>
      <c r="BI863" s="25"/>
      <c r="BJ863" s="24"/>
      <c r="BK863" s="24"/>
      <c r="BL863" s="25"/>
      <c r="BM863" s="25"/>
      <c r="BN863" s="25"/>
    </row>
    <row r="864" spans="1:66" ht="13.5" customHeight="1" x14ac:dyDescent="0.2">
      <c r="A864" s="22"/>
      <c r="B864" s="23"/>
      <c r="C864" s="23"/>
      <c r="D864" s="24"/>
      <c r="E864" s="24"/>
      <c r="F864" s="24"/>
      <c r="G864" s="24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7"/>
      <c r="AN864" s="25"/>
      <c r="AO864" s="25"/>
      <c r="AP864" s="28"/>
      <c r="AQ864" s="25"/>
      <c r="AR864" s="25"/>
      <c r="AS864" s="28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F864" s="25"/>
      <c r="BG864" s="25"/>
      <c r="BH864" s="25"/>
      <c r="BI864" s="25"/>
      <c r="BJ864" s="24"/>
      <c r="BK864" s="24"/>
      <c r="BL864" s="25"/>
      <c r="BM864" s="25"/>
      <c r="BN864" s="25"/>
    </row>
    <row r="865" spans="1:66" ht="13.5" customHeight="1" x14ac:dyDescent="0.2">
      <c r="A865" s="22"/>
      <c r="B865" s="23"/>
      <c r="C865" s="23"/>
      <c r="D865" s="24"/>
      <c r="E865" s="24"/>
      <c r="F865" s="24"/>
      <c r="G865" s="24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7"/>
      <c r="AN865" s="25"/>
      <c r="AO865" s="25"/>
      <c r="AP865" s="28"/>
      <c r="AQ865" s="25"/>
      <c r="AR865" s="25"/>
      <c r="AS865" s="28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F865" s="25"/>
      <c r="BG865" s="25"/>
      <c r="BH865" s="25"/>
      <c r="BI865" s="25"/>
      <c r="BJ865" s="24"/>
      <c r="BK865" s="24"/>
      <c r="BL865" s="25"/>
      <c r="BM865" s="25"/>
      <c r="BN865" s="25"/>
    </row>
    <row r="866" spans="1:66" ht="13.5" customHeight="1" x14ac:dyDescent="0.2">
      <c r="A866" s="22"/>
      <c r="B866" s="23"/>
      <c r="C866" s="23"/>
      <c r="D866" s="24"/>
      <c r="E866" s="24"/>
      <c r="F866" s="24"/>
      <c r="G866" s="24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7"/>
      <c r="AN866" s="25"/>
      <c r="AO866" s="25"/>
      <c r="AP866" s="28"/>
      <c r="AQ866" s="25"/>
      <c r="AR866" s="25"/>
      <c r="AS866" s="28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F866" s="25"/>
      <c r="BG866" s="25"/>
      <c r="BH866" s="25"/>
      <c r="BI866" s="25"/>
      <c r="BJ866" s="24"/>
      <c r="BK866" s="24"/>
      <c r="BL866" s="25"/>
      <c r="BM866" s="25"/>
      <c r="BN866" s="25"/>
    </row>
    <row r="867" spans="1:66" ht="13.5" customHeight="1" x14ac:dyDescent="0.2">
      <c r="A867" s="22"/>
      <c r="B867" s="23"/>
      <c r="C867" s="23"/>
      <c r="D867" s="24"/>
      <c r="E867" s="24"/>
      <c r="F867" s="24"/>
      <c r="G867" s="24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7"/>
      <c r="AN867" s="25"/>
      <c r="AO867" s="25"/>
      <c r="AP867" s="28"/>
      <c r="AQ867" s="25"/>
      <c r="AR867" s="25"/>
      <c r="AS867" s="28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F867" s="25"/>
      <c r="BG867" s="25"/>
      <c r="BH867" s="25"/>
      <c r="BI867" s="25"/>
      <c r="BJ867" s="24"/>
      <c r="BK867" s="24"/>
      <c r="BL867" s="25"/>
      <c r="BM867" s="25"/>
      <c r="BN867" s="25"/>
    </row>
    <row r="868" spans="1:66" ht="13.5" customHeight="1" x14ac:dyDescent="0.2">
      <c r="A868" s="22"/>
      <c r="B868" s="23"/>
      <c r="C868" s="23"/>
      <c r="D868" s="24"/>
      <c r="E868" s="24"/>
      <c r="F868" s="24"/>
      <c r="G868" s="24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7"/>
      <c r="AN868" s="25"/>
      <c r="AO868" s="25"/>
      <c r="AP868" s="28"/>
      <c r="AQ868" s="25"/>
      <c r="AR868" s="25"/>
      <c r="AS868" s="28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F868" s="25"/>
      <c r="BG868" s="25"/>
      <c r="BH868" s="25"/>
      <c r="BI868" s="25"/>
      <c r="BJ868" s="24"/>
      <c r="BK868" s="24"/>
      <c r="BL868" s="25"/>
      <c r="BM868" s="25"/>
      <c r="BN868" s="25"/>
    </row>
    <row r="869" spans="1:66" ht="13.5" customHeight="1" x14ac:dyDescent="0.2">
      <c r="A869" s="22"/>
      <c r="B869" s="23"/>
      <c r="C869" s="23"/>
      <c r="D869" s="24"/>
      <c r="E869" s="24"/>
      <c r="F869" s="24"/>
      <c r="G869" s="24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7"/>
      <c r="AN869" s="25"/>
      <c r="AO869" s="25"/>
      <c r="AP869" s="28"/>
      <c r="AQ869" s="25"/>
      <c r="AR869" s="25"/>
      <c r="AS869" s="28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F869" s="25"/>
      <c r="BG869" s="25"/>
      <c r="BH869" s="25"/>
      <c r="BI869" s="25"/>
      <c r="BJ869" s="24"/>
      <c r="BK869" s="24"/>
      <c r="BL869" s="25"/>
      <c r="BM869" s="25"/>
      <c r="BN869" s="25"/>
    </row>
    <row r="870" spans="1:66" ht="13.5" customHeight="1" x14ac:dyDescent="0.2">
      <c r="A870" s="22"/>
      <c r="B870" s="23"/>
      <c r="C870" s="23"/>
      <c r="D870" s="24"/>
      <c r="E870" s="24"/>
      <c r="F870" s="24"/>
      <c r="G870" s="24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7"/>
      <c r="AN870" s="25"/>
      <c r="AO870" s="25"/>
      <c r="AP870" s="28"/>
      <c r="AQ870" s="25"/>
      <c r="AR870" s="25"/>
      <c r="AS870" s="28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F870" s="25"/>
      <c r="BG870" s="25"/>
      <c r="BH870" s="25"/>
      <c r="BI870" s="25"/>
      <c r="BJ870" s="24"/>
      <c r="BK870" s="24"/>
      <c r="BL870" s="25"/>
      <c r="BM870" s="25"/>
      <c r="BN870" s="25"/>
    </row>
    <row r="871" spans="1:66" ht="13.5" customHeight="1" x14ac:dyDescent="0.2">
      <c r="A871" s="22"/>
      <c r="B871" s="23"/>
      <c r="C871" s="23"/>
      <c r="D871" s="24"/>
      <c r="E871" s="24"/>
      <c r="F871" s="24"/>
      <c r="G871" s="24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7"/>
      <c r="AN871" s="25"/>
      <c r="AO871" s="25"/>
      <c r="AP871" s="28"/>
      <c r="AQ871" s="25"/>
      <c r="AR871" s="25"/>
      <c r="AS871" s="28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F871" s="25"/>
      <c r="BG871" s="25"/>
      <c r="BH871" s="25"/>
      <c r="BI871" s="25"/>
      <c r="BJ871" s="24"/>
      <c r="BK871" s="24"/>
      <c r="BL871" s="25"/>
      <c r="BM871" s="25"/>
      <c r="BN871" s="25"/>
    </row>
    <row r="872" spans="1:66" ht="13.5" customHeight="1" x14ac:dyDescent="0.2">
      <c r="A872" s="22"/>
      <c r="B872" s="23"/>
      <c r="C872" s="23"/>
      <c r="D872" s="24"/>
      <c r="E872" s="24"/>
      <c r="F872" s="24"/>
      <c r="G872" s="24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7"/>
      <c r="AN872" s="25"/>
      <c r="AO872" s="25"/>
      <c r="AP872" s="28"/>
      <c r="AQ872" s="25"/>
      <c r="AR872" s="25"/>
      <c r="AS872" s="28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F872" s="25"/>
      <c r="BG872" s="25"/>
      <c r="BH872" s="25"/>
      <c r="BI872" s="25"/>
      <c r="BJ872" s="24"/>
      <c r="BK872" s="24"/>
      <c r="BL872" s="25"/>
      <c r="BM872" s="25"/>
      <c r="BN872" s="25"/>
    </row>
    <row r="873" spans="1:66" ht="13.5" customHeight="1" x14ac:dyDescent="0.2">
      <c r="A873" s="22"/>
      <c r="B873" s="23"/>
      <c r="C873" s="23"/>
      <c r="D873" s="24"/>
      <c r="E873" s="24"/>
      <c r="F873" s="24"/>
      <c r="G873" s="24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7"/>
      <c r="AN873" s="25"/>
      <c r="AO873" s="25"/>
      <c r="AP873" s="28"/>
      <c r="AQ873" s="25"/>
      <c r="AR873" s="25"/>
      <c r="AS873" s="28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F873" s="25"/>
      <c r="BG873" s="25"/>
      <c r="BH873" s="25"/>
      <c r="BI873" s="25"/>
      <c r="BJ873" s="24"/>
      <c r="BK873" s="24"/>
      <c r="BL873" s="25"/>
      <c r="BM873" s="25"/>
      <c r="BN873" s="25"/>
    </row>
    <row r="874" spans="1:66" ht="13.5" customHeight="1" x14ac:dyDescent="0.2">
      <c r="A874" s="22"/>
      <c r="B874" s="23"/>
      <c r="C874" s="23"/>
      <c r="D874" s="24"/>
      <c r="E874" s="24"/>
      <c r="F874" s="24"/>
      <c r="G874" s="24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7"/>
      <c r="AN874" s="25"/>
      <c r="AO874" s="25"/>
      <c r="AP874" s="28"/>
      <c r="AQ874" s="25"/>
      <c r="AR874" s="25"/>
      <c r="AS874" s="28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F874" s="25"/>
      <c r="BG874" s="25"/>
      <c r="BH874" s="25"/>
      <c r="BI874" s="25"/>
      <c r="BJ874" s="24"/>
      <c r="BK874" s="24"/>
      <c r="BL874" s="25"/>
      <c r="BM874" s="25"/>
      <c r="BN874" s="25"/>
    </row>
    <row r="875" spans="1:66" ht="13.5" customHeight="1" x14ac:dyDescent="0.2">
      <c r="A875" s="22"/>
      <c r="B875" s="23"/>
      <c r="C875" s="23"/>
      <c r="D875" s="24"/>
      <c r="E875" s="24"/>
      <c r="F875" s="24"/>
      <c r="G875" s="24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7"/>
      <c r="AN875" s="25"/>
      <c r="AO875" s="25"/>
      <c r="AP875" s="28"/>
      <c r="AQ875" s="25"/>
      <c r="AR875" s="25"/>
      <c r="AS875" s="28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F875" s="25"/>
      <c r="BG875" s="25"/>
      <c r="BH875" s="25"/>
      <c r="BI875" s="25"/>
      <c r="BJ875" s="24"/>
      <c r="BK875" s="24"/>
      <c r="BL875" s="25"/>
      <c r="BM875" s="25"/>
      <c r="BN875" s="25"/>
    </row>
    <row r="876" spans="1:66" ht="13.5" customHeight="1" x14ac:dyDescent="0.2">
      <c r="A876" s="22"/>
      <c r="B876" s="23"/>
      <c r="C876" s="23"/>
      <c r="D876" s="24"/>
      <c r="E876" s="24"/>
      <c r="F876" s="24"/>
      <c r="G876" s="24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7"/>
      <c r="AN876" s="25"/>
      <c r="AO876" s="25"/>
      <c r="AP876" s="28"/>
      <c r="AQ876" s="25"/>
      <c r="AR876" s="25"/>
      <c r="AS876" s="28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F876" s="25"/>
      <c r="BG876" s="25"/>
      <c r="BH876" s="25"/>
      <c r="BI876" s="25"/>
      <c r="BJ876" s="24"/>
      <c r="BK876" s="24"/>
      <c r="BL876" s="25"/>
      <c r="BM876" s="25"/>
      <c r="BN876" s="25"/>
    </row>
    <row r="877" spans="1:66" ht="13.5" customHeight="1" x14ac:dyDescent="0.2">
      <c r="A877" s="22"/>
      <c r="B877" s="23"/>
      <c r="C877" s="23"/>
      <c r="D877" s="24"/>
      <c r="E877" s="24"/>
      <c r="F877" s="24"/>
      <c r="G877" s="24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7"/>
      <c r="AN877" s="25"/>
      <c r="AO877" s="25"/>
      <c r="AP877" s="28"/>
      <c r="AQ877" s="25"/>
      <c r="AR877" s="25"/>
      <c r="AS877" s="28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F877" s="25"/>
      <c r="BG877" s="25"/>
      <c r="BH877" s="25"/>
      <c r="BI877" s="25"/>
      <c r="BJ877" s="24"/>
      <c r="BK877" s="24"/>
      <c r="BL877" s="25"/>
      <c r="BM877" s="25"/>
      <c r="BN877" s="25"/>
    </row>
    <row r="878" spans="1:66" ht="13.5" customHeight="1" x14ac:dyDescent="0.2">
      <c r="A878" s="22"/>
      <c r="B878" s="23"/>
      <c r="C878" s="23"/>
      <c r="D878" s="24"/>
      <c r="E878" s="24"/>
      <c r="F878" s="24"/>
      <c r="G878" s="24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7"/>
      <c r="AN878" s="25"/>
      <c r="AO878" s="25"/>
      <c r="AP878" s="28"/>
      <c r="AQ878" s="25"/>
      <c r="AR878" s="25"/>
      <c r="AS878" s="28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F878" s="25"/>
      <c r="BG878" s="25"/>
      <c r="BH878" s="25"/>
      <c r="BI878" s="25"/>
      <c r="BJ878" s="24"/>
      <c r="BK878" s="24"/>
      <c r="BL878" s="25"/>
      <c r="BM878" s="25"/>
      <c r="BN878" s="25"/>
    </row>
    <row r="879" spans="1:66" ht="13.5" customHeight="1" x14ac:dyDescent="0.2">
      <c r="A879" s="22"/>
      <c r="B879" s="23"/>
      <c r="C879" s="23"/>
      <c r="D879" s="24"/>
      <c r="E879" s="24"/>
      <c r="F879" s="24"/>
      <c r="G879" s="24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7"/>
      <c r="AN879" s="25"/>
      <c r="AO879" s="25"/>
      <c r="AP879" s="28"/>
      <c r="AQ879" s="25"/>
      <c r="AR879" s="25"/>
      <c r="AS879" s="28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F879" s="25"/>
      <c r="BG879" s="25"/>
      <c r="BH879" s="25"/>
      <c r="BI879" s="25"/>
      <c r="BJ879" s="24"/>
      <c r="BK879" s="24"/>
      <c r="BL879" s="25"/>
      <c r="BM879" s="25"/>
      <c r="BN879" s="25"/>
    </row>
    <row r="880" spans="1:66" ht="13.5" customHeight="1" x14ac:dyDescent="0.2">
      <c r="A880" s="22"/>
      <c r="B880" s="23"/>
      <c r="C880" s="23"/>
      <c r="D880" s="24"/>
      <c r="E880" s="24"/>
      <c r="F880" s="24"/>
      <c r="G880" s="24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7"/>
      <c r="AN880" s="25"/>
      <c r="AO880" s="25"/>
      <c r="AP880" s="28"/>
      <c r="AQ880" s="25"/>
      <c r="AR880" s="25"/>
      <c r="AS880" s="28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F880" s="25"/>
      <c r="BG880" s="25"/>
      <c r="BH880" s="25"/>
      <c r="BI880" s="25"/>
      <c r="BJ880" s="24"/>
      <c r="BK880" s="24"/>
      <c r="BL880" s="25"/>
      <c r="BM880" s="25"/>
      <c r="BN880" s="25"/>
    </row>
    <row r="881" spans="1:66" ht="13.5" customHeight="1" x14ac:dyDescent="0.2">
      <c r="A881" s="22"/>
      <c r="B881" s="23"/>
      <c r="C881" s="23"/>
      <c r="D881" s="24"/>
      <c r="E881" s="24"/>
      <c r="F881" s="24"/>
      <c r="G881" s="24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7"/>
      <c r="AN881" s="25"/>
      <c r="AO881" s="25"/>
      <c r="AP881" s="28"/>
      <c r="AQ881" s="25"/>
      <c r="AR881" s="25"/>
      <c r="AS881" s="28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F881" s="25"/>
      <c r="BG881" s="25"/>
      <c r="BH881" s="25"/>
      <c r="BI881" s="25"/>
      <c r="BJ881" s="24"/>
      <c r="BK881" s="24"/>
      <c r="BL881" s="25"/>
      <c r="BM881" s="25"/>
      <c r="BN881" s="25"/>
    </row>
    <row r="882" spans="1:66" ht="13.5" customHeight="1" x14ac:dyDescent="0.2">
      <c r="A882" s="22"/>
      <c r="B882" s="23"/>
      <c r="C882" s="23"/>
      <c r="D882" s="24"/>
      <c r="E882" s="24"/>
      <c r="F882" s="24"/>
      <c r="G882" s="24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7"/>
      <c r="AN882" s="25"/>
      <c r="AO882" s="25"/>
      <c r="AP882" s="28"/>
      <c r="AQ882" s="25"/>
      <c r="AR882" s="25"/>
      <c r="AS882" s="28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F882" s="25"/>
      <c r="BG882" s="25"/>
      <c r="BH882" s="25"/>
      <c r="BI882" s="25"/>
      <c r="BJ882" s="24"/>
      <c r="BK882" s="24"/>
      <c r="BL882" s="25"/>
      <c r="BM882" s="25"/>
      <c r="BN882" s="25"/>
    </row>
    <row r="883" spans="1:66" ht="13.5" customHeight="1" x14ac:dyDescent="0.2">
      <c r="A883" s="22"/>
      <c r="B883" s="23"/>
      <c r="C883" s="23"/>
      <c r="D883" s="24"/>
      <c r="E883" s="24"/>
      <c r="F883" s="24"/>
      <c r="G883" s="24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7"/>
      <c r="AN883" s="25"/>
      <c r="AO883" s="25"/>
      <c r="AP883" s="28"/>
      <c r="AQ883" s="25"/>
      <c r="AR883" s="25"/>
      <c r="AS883" s="28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F883" s="25"/>
      <c r="BG883" s="25"/>
      <c r="BH883" s="25"/>
      <c r="BI883" s="25"/>
      <c r="BJ883" s="24"/>
      <c r="BK883" s="24"/>
      <c r="BL883" s="25"/>
      <c r="BM883" s="25"/>
      <c r="BN883" s="25"/>
    </row>
    <row r="884" spans="1:66" ht="13.5" customHeight="1" x14ac:dyDescent="0.2">
      <c r="A884" s="22"/>
      <c r="B884" s="23"/>
      <c r="C884" s="23"/>
      <c r="D884" s="24"/>
      <c r="E884" s="24"/>
      <c r="F884" s="24"/>
      <c r="G884" s="24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7"/>
      <c r="AN884" s="25"/>
      <c r="AO884" s="25"/>
      <c r="AP884" s="28"/>
      <c r="AQ884" s="25"/>
      <c r="AR884" s="25"/>
      <c r="AS884" s="28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F884" s="25"/>
      <c r="BG884" s="25"/>
      <c r="BH884" s="25"/>
      <c r="BI884" s="25"/>
      <c r="BJ884" s="24"/>
      <c r="BK884" s="24"/>
      <c r="BL884" s="25"/>
      <c r="BM884" s="25"/>
      <c r="BN884" s="25"/>
    </row>
    <row r="885" spans="1:66" ht="13.5" customHeight="1" x14ac:dyDescent="0.2">
      <c r="A885" s="22"/>
      <c r="B885" s="23"/>
      <c r="C885" s="23"/>
      <c r="D885" s="24"/>
      <c r="E885" s="24"/>
      <c r="F885" s="24"/>
      <c r="G885" s="24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7"/>
      <c r="AN885" s="25"/>
      <c r="AO885" s="25"/>
      <c r="AP885" s="28"/>
      <c r="AQ885" s="25"/>
      <c r="AR885" s="25"/>
      <c r="AS885" s="28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F885" s="25"/>
      <c r="BG885" s="25"/>
      <c r="BH885" s="25"/>
      <c r="BI885" s="25"/>
      <c r="BJ885" s="24"/>
      <c r="BK885" s="24"/>
      <c r="BL885" s="25"/>
      <c r="BM885" s="25"/>
      <c r="BN885" s="25"/>
    </row>
    <row r="886" spans="1:66" ht="13.5" customHeight="1" x14ac:dyDescent="0.2">
      <c r="A886" s="22"/>
      <c r="B886" s="23"/>
      <c r="C886" s="23"/>
      <c r="D886" s="24"/>
      <c r="E886" s="24"/>
      <c r="F886" s="24"/>
      <c r="G886" s="24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7"/>
      <c r="AN886" s="25"/>
      <c r="AO886" s="25"/>
      <c r="AP886" s="28"/>
      <c r="AQ886" s="25"/>
      <c r="AR886" s="25"/>
      <c r="AS886" s="28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F886" s="25"/>
      <c r="BG886" s="25"/>
      <c r="BH886" s="25"/>
      <c r="BI886" s="25"/>
      <c r="BJ886" s="24"/>
      <c r="BK886" s="24"/>
      <c r="BL886" s="25"/>
      <c r="BM886" s="25"/>
      <c r="BN886" s="25"/>
    </row>
    <row r="887" spans="1:66" ht="13.5" customHeight="1" x14ac:dyDescent="0.2">
      <c r="A887" s="22"/>
      <c r="B887" s="23"/>
      <c r="C887" s="23"/>
      <c r="D887" s="24"/>
      <c r="E887" s="24"/>
      <c r="F887" s="24"/>
      <c r="G887" s="24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7"/>
      <c r="AN887" s="25"/>
      <c r="AO887" s="25"/>
      <c r="AP887" s="28"/>
      <c r="AQ887" s="25"/>
      <c r="AR887" s="25"/>
      <c r="AS887" s="28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F887" s="25"/>
      <c r="BG887" s="25"/>
      <c r="BH887" s="25"/>
      <c r="BI887" s="25"/>
      <c r="BJ887" s="24"/>
      <c r="BK887" s="24"/>
      <c r="BL887" s="25"/>
      <c r="BM887" s="25"/>
      <c r="BN887" s="25"/>
    </row>
    <row r="888" spans="1:66" ht="13.5" customHeight="1" x14ac:dyDescent="0.2">
      <c r="A888" s="22"/>
      <c r="B888" s="23"/>
      <c r="C888" s="23"/>
      <c r="D888" s="24"/>
      <c r="E888" s="24"/>
      <c r="F888" s="24"/>
      <c r="G888" s="24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7"/>
      <c r="AN888" s="25"/>
      <c r="AO888" s="25"/>
      <c r="AP888" s="28"/>
      <c r="AQ888" s="25"/>
      <c r="AR888" s="25"/>
      <c r="AS888" s="28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F888" s="25"/>
      <c r="BG888" s="25"/>
      <c r="BH888" s="25"/>
      <c r="BI888" s="25"/>
      <c r="BJ888" s="24"/>
      <c r="BK888" s="24"/>
      <c r="BL888" s="25"/>
      <c r="BM888" s="25"/>
      <c r="BN888" s="25"/>
    </row>
    <row r="889" spans="1:66" ht="13.5" customHeight="1" x14ac:dyDescent="0.2">
      <c r="A889" s="22"/>
      <c r="B889" s="23"/>
      <c r="C889" s="23"/>
      <c r="D889" s="24"/>
      <c r="E889" s="24"/>
      <c r="F889" s="24"/>
      <c r="G889" s="24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7"/>
      <c r="AN889" s="25"/>
      <c r="AO889" s="25"/>
      <c r="AP889" s="28"/>
      <c r="AQ889" s="25"/>
      <c r="AR889" s="25"/>
      <c r="AS889" s="28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F889" s="25"/>
      <c r="BG889" s="25"/>
      <c r="BH889" s="25"/>
      <c r="BI889" s="25"/>
      <c r="BJ889" s="24"/>
      <c r="BK889" s="24"/>
      <c r="BL889" s="25"/>
      <c r="BM889" s="25"/>
      <c r="BN889" s="25"/>
    </row>
    <row r="890" spans="1:66" ht="13.5" customHeight="1" x14ac:dyDescent="0.2">
      <c r="A890" s="22"/>
      <c r="B890" s="23"/>
      <c r="C890" s="23"/>
      <c r="D890" s="24"/>
      <c r="E890" s="24"/>
      <c r="F890" s="24"/>
      <c r="G890" s="24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7"/>
      <c r="AN890" s="25"/>
      <c r="AO890" s="25"/>
      <c r="AP890" s="28"/>
      <c r="AQ890" s="25"/>
      <c r="AR890" s="25"/>
      <c r="AS890" s="28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F890" s="25"/>
      <c r="BG890" s="25"/>
      <c r="BH890" s="25"/>
      <c r="BI890" s="25"/>
      <c r="BJ890" s="24"/>
      <c r="BK890" s="24"/>
      <c r="BL890" s="25"/>
      <c r="BM890" s="25"/>
      <c r="BN890" s="25"/>
    </row>
    <row r="891" spans="1:66" ht="13.5" customHeight="1" x14ac:dyDescent="0.2">
      <c r="A891" s="22"/>
      <c r="B891" s="23"/>
      <c r="C891" s="23"/>
      <c r="D891" s="24"/>
      <c r="E891" s="24"/>
      <c r="F891" s="24"/>
      <c r="G891" s="24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7"/>
      <c r="AN891" s="25"/>
      <c r="AO891" s="25"/>
      <c r="AP891" s="28"/>
      <c r="AQ891" s="25"/>
      <c r="AR891" s="25"/>
      <c r="AS891" s="28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F891" s="25"/>
      <c r="BG891" s="25"/>
      <c r="BH891" s="25"/>
      <c r="BI891" s="25"/>
      <c r="BJ891" s="24"/>
      <c r="BK891" s="24"/>
      <c r="BL891" s="25"/>
      <c r="BM891" s="25"/>
      <c r="BN891" s="25"/>
    </row>
    <row r="892" spans="1:66" ht="13.5" customHeight="1" x14ac:dyDescent="0.2">
      <c r="A892" s="22"/>
      <c r="B892" s="23"/>
      <c r="C892" s="23"/>
      <c r="D892" s="24"/>
      <c r="E892" s="24"/>
      <c r="F892" s="24"/>
      <c r="G892" s="24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7"/>
      <c r="AN892" s="25"/>
      <c r="AO892" s="25"/>
      <c r="AP892" s="28"/>
      <c r="AQ892" s="25"/>
      <c r="AR892" s="25"/>
      <c r="AS892" s="28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F892" s="25"/>
      <c r="BG892" s="25"/>
      <c r="BH892" s="25"/>
      <c r="BI892" s="25"/>
      <c r="BJ892" s="24"/>
      <c r="BK892" s="24"/>
      <c r="BL892" s="25"/>
      <c r="BM892" s="25"/>
      <c r="BN892" s="25"/>
    </row>
    <row r="893" spans="1:66" ht="13.5" customHeight="1" x14ac:dyDescent="0.2">
      <c r="A893" s="22"/>
      <c r="B893" s="23"/>
      <c r="C893" s="23"/>
      <c r="D893" s="24"/>
      <c r="E893" s="24"/>
      <c r="F893" s="24"/>
      <c r="G893" s="24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7"/>
      <c r="AN893" s="25"/>
      <c r="AO893" s="25"/>
      <c r="AP893" s="28"/>
      <c r="AQ893" s="25"/>
      <c r="AR893" s="25"/>
      <c r="AS893" s="28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F893" s="25"/>
      <c r="BG893" s="25"/>
      <c r="BH893" s="25"/>
      <c r="BI893" s="25"/>
      <c r="BJ893" s="24"/>
      <c r="BK893" s="24"/>
      <c r="BL893" s="25"/>
      <c r="BM893" s="25"/>
      <c r="BN893" s="25"/>
    </row>
    <row r="894" spans="1:66" ht="13.5" customHeight="1" x14ac:dyDescent="0.2">
      <c r="A894" s="22"/>
      <c r="B894" s="23"/>
      <c r="C894" s="23"/>
      <c r="D894" s="24"/>
      <c r="E894" s="24"/>
      <c r="F894" s="24"/>
      <c r="G894" s="24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7"/>
      <c r="AN894" s="25"/>
      <c r="AO894" s="25"/>
      <c r="AP894" s="28"/>
      <c r="AQ894" s="25"/>
      <c r="AR894" s="25"/>
      <c r="AS894" s="28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F894" s="25"/>
      <c r="BG894" s="25"/>
      <c r="BH894" s="25"/>
      <c r="BI894" s="25"/>
      <c r="BJ894" s="24"/>
      <c r="BK894" s="24"/>
      <c r="BL894" s="25"/>
      <c r="BM894" s="25"/>
      <c r="BN894" s="25"/>
    </row>
    <row r="895" spans="1:66" ht="13.5" customHeight="1" x14ac:dyDescent="0.2">
      <c r="A895" s="22"/>
      <c r="B895" s="23"/>
      <c r="C895" s="23"/>
      <c r="D895" s="24"/>
      <c r="E895" s="24"/>
      <c r="F895" s="24"/>
      <c r="G895" s="24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7"/>
      <c r="AN895" s="25"/>
      <c r="AO895" s="25"/>
      <c r="AP895" s="28"/>
      <c r="AQ895" s="25"/>
      <c r="AR895" s="25"/>
      <c r="AS895" s="28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F895" s="25"/>
      <c r="BG895" s="25"/>
      <c r="BH895" s="25"/>
      <c r="BI895" s="25"/>
      <c r="BJ895" s="24"/>
      <c r="BK895" s="24"/>
      <c r="BL895" s="25"/>
      <c r="BM895" s="25"/>
      <c r="BN895" s="25"/>
    </row>
    <row r="896" spans="1:66" ht="13.5" customHeight="1" x14ac:dyDescent="0.2">
      <c r="A896" s="22"/>
      <c r="B896" s="23"/>
      <c r="C896" s="23"/>
      <c r="D896" s="24"/>
      <c r="E896" s="24"/>
      <c r="F896" s="24"/>
      <c r="G896" s="24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7"/>
      <c r="AN896" s="25"/>
      <c r="AO896" s="25"/>
      <c r="AP896" s="28"/>
      <c r="AQ896" s="25"/>
      <c r="AR896" s="25"/>
      <c r="AS896" s="28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F896" s="25"/>
      <c r="BG896" s="25"/>
      <c r="BH896" s="25"/>
      <c r="BI896" s="25"/>
      <c r="BJ896" s="24"/>
      <c r="BK896" s="24"/>
      <c r="BL896" s="25"/>
      <c r="BM896" s="25"/>
      <c r="BN896" s="25"/>
    </row>
    <row r="897" spans="1:66" ht="13.5" customHeight="1" x14ac:dyDescent="0.2">
      <c r="A897" s="22"/>
      <c r="B897" s="23"/>
      <c r="C897" s="23"/>
      <c r="D897" s="24"/>
      <c r="E897" s="24"/>
      <c r="F897" s="24"/>
      <c r="G897" s="24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7"/>
      <c r="AN897" s="25"/>
      <c r="AO897" s="25"/>
      <c r="AP897" s="28"/>
      <c r="AQ897" s="25"/>
      <c r="AR897" s="25"/>
      <c r="AS897" s="28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F897" s="25"/>
      <c r="BG897" s="25"/>
      <c r="BH897" s="25"/>
      <c r="BI897" s="25"/>
      <c r="BJ897" s="24"/>
      <c r="BK897" s="24"/>
      <c r="BL897" s="25"/>
      <c r="BM897" s="25"/>
      <c r="BN897" s="25"/>
    </row>
    <row r="898" spans="1:66" ht="13.5" customHeight="1" x14ac:dyDescent="0.2">
      <c r="A898" s="22"/>
      <c r="B898" s="23"/>
      <c r="C898" s="23"/>
      <c r="D898" s="24"/>
      <c r="E898" s="24"/>
      <c r="F898" s="24"/>
      <c r="G898" s="24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7"/>
      <c r="AN898" s="25"/>
      <c r="AO898" s="25"/>
      <c r="AP898" s="28"/>
      <c r="AQ898" s="25"/>
      <c r="AR898" s="25"/>
      <c r="AS898" s="28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F898" s="25"/>
      <c r="BG898" s="25"/>
      <c r="BH898" s="25"/>
      <c r="BI898" s="25"/>
      <c r="BJ898" s="24"/>
      <c r="BK898" s="24"/>
      <c r="BL898" s="25"/>
      <c r="BM898" s="25"/>
      <c r="BN898" s="25"/>
    </row>
    <row r="899" spans="1:66" ht="13.5" customHeight="1" x14ac:dyDescent="0.2">
      <c r="A899" s="22"/>
      <c r="B899" s="23"/>
      <c r="C899" s="23"/>
      <c r="D899" s="24"/>
      <c r="E899" s="24"/>
      <c r="F899" s="24"/>
      <c r="G899" s="24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7"/>
      <c r="AN899" s="25"/>
      <c r="AO899" s="25"/>
      <c r="AP899" s="28"/>
      <c r="AQ899" s="25"/>
      <c r="AR899" s="25"/>
      <c r="AS899" s="28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F899" s="25"/>
      <c r="BG899" s="25"/>
      <c r="BH899" s="25"/>
      <c r="BI899" s="25"/>
      <c r="BJ899" s="24"/>
      <c r="BK899" s="24"/>
      <c r="BL899" s="25"/>
      <c r="BM899" s="25"/>
      <c r="BN899" s="25"/>
    </row>
    <row r="900" spans="1:66" ht="13.5" customHeight="1" x14ac:dyDescent="0.2">
      <c r="A900" s="22"/>
      <c r="B900" s="23"/>
      <c r="C900" s="23"/>
      <c r="D900" s="24"/>
      <c r="E900" s="24"/>
      <c r="F900" s="24"/>
      <c r="G900" s="24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7"/>
      <c r="AN900" s="25"/>
      <c r="AO900" s="25"/>
      <c r="AP900" s="28"/>
      <c r="AQ900" s="25"/>
      <c r="AR900" s="25"/>
      <c r="AS900" s="28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F900" s="25"/>
      <c r="BG900" s="25"/>
      <c r="BH900" s="25"/>
      <c r="BI900" s="25"/>
      <c r="BJ900" s="24"/>
      <c r="BK900" s="24"/>
      <c r="BL900" s="25"/>
      <c r="BM900" s="25"/>
      <c r="BN900" s="25"/>
    </row>
    <row r="901" spans="1:66" ht="13.5" customHeight="1" x14ac:dyDescent="0.2">
      <c r="A901" s="22"/>
      <c r="B901" s="23"/>
      <c r="C901" s="23"/>
      <c r="D901" s="24"/>
      <c r="E901" s="24"/>
      <c r="F901" s="24"/>
      <c r="G901" s="24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7"/>
      <c r="AN901" s="25"/>
      <c r="AO901" s="25"/>
      <c r="AP901" s="28"/>
      <c r="AQ901" s="25"/>
      <c r="AR901" s="25"/>
      <c r="AS901" s="28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F901" s="25"/>
      <c r="BG901" s="25"/>
      <c r="BH901" s="25"/>
      <c r="BI901" s="25"/>
      <c r="BJ901" s="24"/>
      <c r="BK901" s="24"/>
      <c r="BL901" s="25"/>
      <c r="BM901" s="25"/>
      <c r="BN901" s="25"/>
    </row>
    <row r="902" spans="1:66" ht="13.5" customHeight="1" x14ac:dyDescent="0.2">
      <c r="A902" s="22"/>
      <c r="B902" s="23"/>
      <c r="C902" s="23"/>
      <c r="D902" s="24"/>
      <c r="E902" s="24"/>
      <c r="F902" s="24"/>
      <c r="G902" s="24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7"/>
      <c r="AN902" s="25"/>
      <c r="AO902" s="25"/>
      <c r="AP902" s="28"/>
      <c r="AQ902" s="25"/>
      <c r="AR902" s="25"/>
      <c r="AS902" s="28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F902" s="25"/>
      <c r="BG902" s="25"/>
      <c r="BH902" s="25"/>
      <c r="BI902" s="25"/>
      <c r="BJ902" s="24"/>
      <c r="BK902" s="24"/>
      <c r="BL902" s="25"/>
      <c r="BM902" s="25"/>
      <c r="BN902" s="25"/>
    </row>
    <row r="903" spans="1:66" ht="13.5" customHeight="1" x14ac:dyDescent="0.2">
      <c r="A903" s="22"/>
      <c r="B903" s="23"/>
      <c r="C903" s="23"/>
      <c r="D903" s="24"/>
      <c r="E903" s="24"/>
      <c r="F903" s="24"/>
      <c r="G903" s="24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7"/>
      <c r="AN903" s="25"/>
      <c r="AO903" s="25"/>
      <c r="AP903" s="28"/>
      <c r="AQ903" s="25"/>
      <c r="AR903" s="25"/>
      <c r="AS903" s="28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F903" s="25"/>
      <c r="BG903" s="25"/>
      <c r="BH903" s="25"/>
      <c r="BI903" s="25"/>
      <c r="BJ903" s="24"/>
      <c r="BK903" s="24"/>
      <c r="BL903" s="25"/>
      <c r="BM903" s="25"/>
      <c r="BN903" s="25"/>
    </row>
    <row r="904" spans="1:66" ht="13.5" customHeight="1" x14ac:dyDescent="0.2">
      <c r="A904" s="22"/>
      <c r="B904" s="23"/>
      <c r="C904" s="23"/>
      <c r="D904" s="24"/>
      <c r="E904" s="24"/>
      <c r="F904" s="24"/>
      <c r="G904" s="24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7"/>
      <c r="AN904" s="25"/>
      <c r="AO904" s="25"/>
      <c r="AP904" s="28"/>
      <c r="AQ904" s="25"/>
      <c r="AR904" s="25"/>
      <c r="AS904" s="28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F904" s="25"/>
      <c r="BG904" s="25"/>
      <c r="BH904" s="25"/>
      <c r="BI904" s="25"/>
      <c r="BJ904" s="24"/>
      <c r="BK904" s="24"/>
      <c r="BL904" s="25"/>
      <c r="BM904" s="25"/>
      <c r="BN904" s="25"/>
    </row>
    <row r="905" spans="1:66" ht="13.5" customHeight="1" x14ac:dyDescent="0.2">
      <c r="A905" s="22"/>
      <c r="B905" s="23"/>
      <c r="C905" s="23"/>
      <c r="D905" s="24"/>
      <c r="E905" s="24"/>
      <c r="F905" s="24"/>
      <c r="G905" s="24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7"/>
      <c r="AN905" s="25"/>
      <c r="AO905" s="25"/>
      <c r="AP905" s="28"/>
      <c r="AQ905" s="25"/>
      <c r="AR905" s="25"/>
      <c r="AS905" s="28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F905" s="25"/>
      <c r="BG905" s="25"/>
      <c r="BH905" s="25"/>
      <c r="BI905" s="25"/>
      <c r="BJ905" s="24"/>
      <c r="BK905" s="24"/>
      <c r="BL905" s="25"/>
      <c r="BM905" s="25"/>
      <c r="BN905" s="25"/>
    </row>
    <row r="906" spans="1:66" ht="13.5" customHeight="1" x14ac:dyDescent="0.2">
      <c r="A906" s="22"/>
      <c r="B906" s="23"/>
      <c r="C906" s="23"/>
      <c r="D906" s="24"/>
      <c r="E906" s="24"/>
      <c r="F906" s="24"/>
      <c r="G906" s="24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7"/>
      <c r="AN906" s="25"/>
      <c r="AO906" s="25"/>
      <c r="AP906" s="28"/>
      <c r="AQ906" s="25"/>
      <c r="AR906" s="25"/>
      <c r="AS906" s="28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F906" s="25"/>
      <c r="BG906" s="25"/>
      <c r="BH906" s="25"/>
      <c r="BI906" s="25"/>
      <c r="BJ906" s="24"/>
      <c r="BK906" s="24"/>
      <c r="BL906" s="25"/>
      <c r="BM906" s="25"/>
      <c r="BN906" s="25"/>
    </row>
    <row r="907" spans="1:66" ht="13.5" customHeight="1" x14ac:dyDescent="0.2">
      <c r="A907" s="22"/>
      <c r="B907" s="23"/>
      <c r="C907" s="23"/>
      <c r="D907" s="24"/>
      <c r="E907" s="24"/>
      <c r="F907" s="24"/>
      <c r="G907" s="24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7"/>
      <c r="AN907" s="25"/>
      <c r="AO907" s="25"/>
      <c r="AP907" s="28"/>
      <c r="AQ907" s="25"/>
      <c r="AR907" s="25"/>
      <c r="AS907" s="28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F907" s="25"/>
      <c r="BG907" s="25"/>
      <c r="BH907" s="25"/>
      <c r="BI907" s="25"/>
      <c r="BJ907" s="24"/>
      <c r="BK907" s="24"/>
      <c r="BL907" s="25"/>
      <c r="BM907" s="25"/>
      <c r="BN907" s="25"/>
    </row>
    <row r="908" spans="1:66" ht="13.5" customHeight="1" x14ac:dyDescent="0.2">
      <c r="A908" s="22"/>
      <c r="B908" s="23"/>
      <c r="C908" s="23"/>
      <c r="D908" s="24"/>
      <c r="E908" s="24"/>
      <c r="F908" s="24"/>
      <c r="G908" s="24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7"/>
      <c r="AN908" s="25"/>
      <c r="AO908" s="25"/>
      <c r="AP908" s="28"/>
      <c r="AQ908" s="25"/>
      <c r="AR908" s="25"/>
      <c r="AS908" s="28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F908" s="25"/>
      <c r="BG908" s="25"/>
      <c r="BH908" s="25"/>
      <c r="BI908" s="25"/>
      <c r="BJ908" s="24"/>
      <c r="BK908" s="24"/>
      <c r="BL908" s="25"/>
      <c r="BM908" s="25"/>
      <c r="BN908" s="25"/>
    </row>
    <row r="909" spans="1:66" ht="13.5" customHeight="1" x14ac:dyDescent="0.2">
      <c r="A909" s="22"/>
      <c r="B909" s="23"/>
      <c r="C909" s="23"/>
      <c r="D909" s="24"/>
      <c r="E909" s="24"/>
      <c r="F909" s="24"/>
      <c r="G909" s="24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7"/>
      <c r="AN909" s="25"/>
      <c r="AO909" s="25"/>
      <c r="AP909" s="28"/>
      <c r="AQ909" s="25"/>
      <c r="AR909" s="25"/>
      <c r="AS909" s="28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F909" s="25"/>
      <c r="BG909" s="25"/>
      <c r="BH909" s="25"/>
      <c r="BI909" s="25"/>
      <c r="BJ909" s="24"/>
      <c r="BK909" s="24"/>
      <c r="BL909" s="25"/>
      <c r="BM909" s="25"/>
      <c r="BN909" s="25"/>
    </row>
    <row r="910" spans="1:66" ht="13.5" customHeight="1" x14ac:dyDescent="0.2">
      <c r="A910" s="22"/>
      <c r="B910" s="23"/>
      <c r="C910" s="23"/>
      <c r="D910" s="24"/>
      <c r="E910" s="24"/>
      <c r="F910" s="24"/>
      <c r="G910" s="24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7"/>
      <c r="AN910" s="25"/>
      <c r="AO910" s="25"/>
      <c r="AP910" s="28"/>
      <c r="AQ910" s="25"/>
      <c r="AR910" s="25"/>
      <c r="AS910" s="28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F910" s="25"/>
      <c r="BG910" s="25"/>
      <c r="BH910" s="25"/>
      <c r="BI910" s="25"/>
      <c r="BJ910" s="24"/>
      <c r="BK910" s="24"/>
      <c r="BL910" s="25"/>
      <c r="BM910" s="25"/>
      <c r="BN910" s="25"/>
    </row>
    <row r="911" spans="1:66" ht="13.5" customHeight="1" x14ac:dyDescent="0.2">
      <c r="A911" s="22"/>
      <c r="B911" s="23"/>
      <c r="C911" s="23"/>
      <c r="D911" s="24"/>
      <c r="E911" s="24"/>
      <c r="F911" s="24"/>
      <c r="G911" s="24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7"/>
      <c r="AN911" s="25"/>
      <c r="AO911" s="25"/>
      <c r="AP911" s="28"/>
      <c r="AQ911" s="25"/>
      <c r="AR911" s="25"/>
      <c r="AS911" s="28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F911" s="25"/>
      <c r="BG911" s="25"/>
      <c r="BH911" s="25"/>
      <c r="BI911" s="25"/>
      <c r="BJ911" s="24"/>
      <c r="BK911" s="24"/>
      <c r="BL911" s="25"/>
      <c r="BM911" s="25"/>
      <c r="BN911" s="25"/>
    </row>
    <row r="912" spans="1:66" ht="13.5" customHeight="1" x14ac:dyDescent="0.2">
      <c r="A912" s="22"/>
      <c r="B912" s="23"/>
      <c r="C912" s="23"/>
      <c r="D912" s="24"/>
      <c r="E912" s="24"/>
      <c r="F912" s="24"/>
      <c r="G912" s="24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7"/>
      <c r="AN912" s="25"/>
      <c r="AO912" s="25"/>
      <c r="AP912" s="28"/>
      <c r="AQ912" s="25"/>
      <c r="AR912" s="25"/>
      <c r="AS912" s="28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F912" s="25"/>
      <c r="BG912" s="25"/>
      <c r="BH912" s="25"/>
      <c r="BI912" s="25"/>
      <c r="BJ912" s="24"/>
      <c r="BK912" s="24"/>
      <c r="BL912" s="25"/>
      <c r="BM912" s="25"/>
      <c r="BN912" s="25"/>
    </row>
    <row r="913" spans="1:66" ht="13.5" customHeight="1" x14ac:dyDescent="0.2">
      <c r="A913" s="22"/>
      <c r="B913" s="23"/>
      <c r="C913" s="23"/>
      <c r="D913" s="24"/>
      <c r="E913" s="24"/>
      <c r="F913" s="24"/>
      <c r="G913" s="24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7"/>
      <c r="AN913" s="25"/>
      <c r="AO913" s="25"/>
      <c r="AP913" s="28"/>
      <c r="AQ913" s="25"/>
      <c r="AR913" s="25"/>
      <c r="AS913" s="28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F913" s="25"/>
      <c r="BG913" s="25"/>
      <c r="BH913" s="25"/>
      <c r="BI913" s="25"/>
      <c r="BJ913" s="24"/>
      <c r="BK913" s="24"/>
      <c r="BL913" s="25"/>
      <c r="BM913" s="25"/>
      <c r="BN913" s="25"/>
    </row>
    <row r="914" spans="1:66" ht="13.5" customHeight="1" x14ac:dyDescent="0.2">
      <c r="A914" s="22"/>
      <c r="B914" s="23"/>
      <c r="C914" s="23"/>
      <c r="D914" s="24"/>
      <c r="E914" s="24"/>
      <c r="F914" s="24"/>
      <c r="G914" s="24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7"/>
      <c r="AN914" s="25"/>
      <c r="AO914" s="25"/>
      <c r="AP914" s="28"/>
      <c r="AQ914" s="25"/>
      <c r="AR914" s="25"/>
      <c r="AS914" s="28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F914" s="25"/>
      <c r="BG914" s="25"/>
      <c r="BH914" s="25"/>
      <c r="BI914" s="25"/>
      <c r="BJ914" s="24"/>
      <c r="BK914" s="24"/>
      <c r="BL914" s="25"/>
      <c r="BM914" s="25"/>
      <c r="BN914" s="25"/>
    </row>
    <row r="915" spans="1:66" ht="13.5" customHeight="1" x14ac:dyDescent="0.2">
      <c r="A915" s="22"/>
      <c r="B915" s="23"/>
      <c r="C915" s="23"/>
      <c r="D915" s="24"/>
      <c r="E915" s="24"/>
      <c r="F915" s="24"/>
      <c r="G915" s="24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7"/>
      <c r="AN915" s="25"/>
      <c r="AO915" s="25"/>
      <c r="AP915" s="28"/>
      <c r="AQ915" s="25"/>
      <c r="AR915" s="25"/>
      <c r="AS915" s="28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F915" s="25"/>
      <c r="BG915" s="25"/>
      <c r="BH915" s="25"/>
      <c r="BI915" s="25"/>
      <c r="BJ915" s="24"/>
      <c r="BK915" s="24"/>
      <c r="BL915" s="25"/>
      <c r="BM915" s="25"/>
      <c r="BN915" s="25"/>
    </row>
    <row r="916" spans="1:66" ht="13.5" customHeight="1" x14ac:dyDescent="0.2">
      <c r="A916" s="22"/>
      <c r="B916" s="23"/>
      <c r="C916" s="23"/>
      <c r="D916" s="24"/>
      <c r="E916" s="24"/>
      <c r="F916" s="24"/>
      <c r="G916" s="24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7"/>
      <c r="AN916" s="25"/>
      <c r="AO916" s="25"/>
      <c r="AP916" s="28"/>
      <c r="AQ916" s="25"/>
      <c r="AR916" s="25"/>
      <c r="AS916" s="28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F916" s="25"/>
      <c r="BG916" s="25"/>
      <c r="BH916" s="25"/>
      <c r="BI916" s="25"/>
      <c r="BJ916" s="24"/>
      <c r="BK916" s="24"/>
      <c r="BL916" s="25"/>
      <c r="BM916" s="25"/>
      <c r="BN916" s="25"/>
    </row>
    <row r="917" spans="1:66" ht="13.5" customHeight="1" x14ac:dyDescent="0.2">
      <c r="A917" s="22"/>
      <c r="B917" s="23"/>
      <c r="C917" s="23"/>
      <c r="D917" s="24"/>
      <c r="E917" s="24"/>
      <c r="F917" s="24"/>
      <c r="G917" s="24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7"/>
      <c r="AN917" s="25"/>
      <c r="AO917" s="25"/>
      <c r="AP917" s="28"/>
      <c r="AQ917" s="25"/>
      <c r="AR917" s="25"/>
      <c r="AS917" s="28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F917" s="25"/>
      <c r="BG917" s="25"/>
      <c r="BH917" s="25"/>
      <c r="BI917" s="25"/>
      <c r="BJ917" s="24"/>
      <c r="BK917" s="24"/>
      <c r="BL917" s="25"/>
      <c r="BM917" s="25"/>
      <c r="BN917" s="25"/>
    </row>
    <row r="918" spans="1:66" ht="13.5" customHeight="1" x14ac:dyDescent="0.2">
      <c r="A918" s="22"/>
      <c r="B918" s="23"/>
      <c r="C918" s="23"/>
      <c r="D918" s="24"/>
      <c r="E918" s="24"/>
      <c r="F918" s="24"/>
      <c r="G918" s="24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7"/>
      <c r="AN918" s="25"/>
      <c r="AO918" s="25"/>
      <c r="AP918" s="28"/>
      <c r="AQ918" s="25"/>
      <c r="AR918" s="25"/>
      <c r="AS918" s="28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F918" s="25"/>
      <c r="BG918" s="25"/>
      <c r="BH918" s="25"/>
      <c r="BI918" s="25"/>
      <c r="BJ918" s="24"/>
      <c r="BK918" s="24"/>
      <c r="BL918" s="25"/>
      <c r="BM918" s="25"/>
      <c r="BN918" s="25"/>
    </row>
    <row r="919" spans="1:66" ht="13.5" customHeight="1" x14ac:dyDescent="0.2">
      <c r="A919" s="22"/>
      <c r="B919" s="23"/>
      <c r="C919" s="23"/>
      <c r="D919" s="24"/>
      <c r="E919" s="24"/>
      <c r="F919" s="24"/>
      <c r="G919" s="24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7"/>
      <c r="AN919" s="25"/>
      <c r="AO919" s="25"/>
      <c r="AP919" s="28"/>
      <c r="AQ919" s="25"/>
      <c r="AR919" s="25"/>
      <c r="AS919" s="28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F919" s="25"/>
      <c r="BG919" s="25"/>
      <c r="BH919" s="25"/>
      <c r="BI919" s="25"/>
      <c r="BJ919" s="24"/>
      <c r="BK919" s="24"/>
      <c r="BL919" s="25"/>
      <c r="BM919" s="25"/>
      <c r="BN919" s="25"/>
    </row>
    <row r="920" spans="1:66" ht="13.5" customHeight="1" x14ac:dyDescent="0.2">
      <c r="A920" s="22"/>
      <c r="B920" s="23"/>
      <c r="C920" s="23"/>
      <c r="D920" s="24"/>
      <c r="E920" s="24"/>
      <c r="F920" s="24"/>
      <c r="G920" s="24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7"/>
      <c r="AN920" s="25"/>
      <c r="AO920" s="25"/>
      <c r="AP920" s="28"/>
      <c r="AQ920" s="25"/>
      <c r="AR920" s="25"/>
      <c r="AS920" s="28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F920" s="25"/>
      <c r="BG920" s="25"/>
      <c r="BH920" s="25"/>
      <c r="BI920" s="25"/>
      <c r="BJ920" s="24"/>
      <c r="BK920" s="24"/>
      <c r="BL920" s="25"/>
      <c r="BM920" s="25"/>
      <c r="BN920" s="25"/>
    </row>
    <row r="921" spans="1:66" ht="13.5" customHeight="1" x14ac:dyDescent="0.2">
      <c r="A921" s="22"/>
      <c r="B921" s="23"/>
      <c r="C921" s="23"/>
      <c r="D921" s="24"/>
      <c r="E921" s="24"/>
      <c r="F921" s="24"/>
      <c r="G921" s="24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7"/>
      <c r="AN921" s="25"/>
      <c r="AO921" s="25"/>
      <c r="AP921" s="28"/>
      <c r="AQ921" s="25"/>
      <c r="AR921" s="25"/>
      <c r="AS921" s="28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F921" s="25"/>
      <c r="BG921" s="25"/>
      <c r="BH921" s="25"/>
      <c r="BI921" s="25"/>
      <c r="BJ921" s="24"/>
      <c r="BK921" s="24"/>
      <c r="BL921" s="25"/>
      <c r="BM921" s="25"/>
      <c r="BN921" s="25"/>
    </row>
    <row r="922" spans="1:66" ht="13.5" customHeight="1" x14ac:dyDescent="0.2">
      <c r="A922" s="22"/>
      <c r="B922" s="23"/>
      <c r="C922" s="23"/>
      <c r="D922" s="24"/>
      <c r="E922" s="24"/>
      <c r="F922" s="24"/>
      <c r="G922" s="24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7"/>
      <c r="AN922" s="25"/>
      <c r="AO922" s="25"/>
      <c r="AP922" s="28"/>
      <c r="AQ922" s="25"/>
      <c r="AR922" s="25"/>
      <c r="AS922" s="28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F922" s="25"/>
      <c r="BG922" s="25"/>
      <c r="BH922" s="25"/>
      <c r="BI922" s="25"/>
      <c r="BJ922" s="24"/>
      <c r="BK922" s="24"/>
      <c r="BL922" s="25"/>
      <c r="BM922" s="25"/>
      <c r="BN922" s="25"/>
    </row>
    <row r="923" spans="1:66" ht="13.5" customHeight="1" x14ac:dyDescent="0.2">
      <c r="A923" s="22"/>
      <c r="B923" s="23"/>
      <c r="C923" s="23"/>
      <c r="D923" s="24"/>
      <c r="E923" s="24"/>
      <c r="F923" s="24"/>
      <c r="G923" s="24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7"/>
      <c r="AN923" s="25"/>
      <c r="AO923" s="25"/>
      <c r="AP923" s="28"/>
      <c r="AQ923" s="25"/>
      <c r="AR923" s="25"/>
      <c r="AS923" s="28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F923" s="25"/>
      <c r="BG923" s="25"/>
      <c r="BH923" s="25"/>
      <c r="BI923" s="25"/>
      <c r="BJ923" s="24"/>
      <c r="BK923" s="24"/>
      <c r="BL923" s="25"/>
      <c r="BM923" s="25"/>
      <c r="BN923" s="25"/>
    </row>
    <row r="924" spans="1:66" ht="13.5" customHeight="1" x14ac:dyDescent="0.2">
      <c r="A924" s="22"/>
      <c r="B924" s="23"/>
      <c r="C924" s="23"/>
      <c r="D924" s="24"/>
      <c r="E924" s="24"/>
      <c r="F924" s="24"/>
      <c r="G924" s="24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7"/>
      <c r="AN924" s="25"/>
      <c r="AO924" s="25"/>
      <c r="AP924" s="28"/>
      <c r="AQ924" s="25"/>
      <c r="AR924" s="25"/>
      <c r="AS924" s="28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F924" s="25"/>
      <c r="BG924" s="25"/>
      <c r="BH924" s="25"/>
      <c r="BI924" s="25"/>
      <c r="BJ924" s="24"/>
      <c r="BK924" s="24"/>
      <c r="BL924" s="25"/>
      <c r="BM924" s="25"/>
      <c r="BN924" s="25"/>
    </row>
    <row r="925" spans="1:66" ht="13.5" customHeight="1" x14ac:dyDescent="0.2">
      <c r="A925" s="22"/>
      <c r="B925" s="23"/>
      <c r="C925" s="23"/>
      <c r="D925" s="24"/>
      <c r="E925" s="24"/>
      <c r="F925" s="24"/>
      <c r="G925" s="24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7"/>
      <c r="AN925" s="25"/>
      <c r="AO925" s="25"/>
      <c r="AP925" s="28"/>
      <c r="AQ925" s="25"/>
      <c r="AR925" s="25"/>
      <c r="AS925" s="28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F925" s="25"/>
      <c r="BG925" s="25"/>
      <c r="BH925" s="25"/>
      <c r="BI925" s="25"/>
      <c r="BJ925" s="24"/>
      <c r="BK925" s="24"/>
      <c r="BL925" s="25"/>
      <c r="BM925" s="25"/>
      <c r="BN925" s="25"/>
    </row>
    <row r="926" spans="1:66" ht="13.5" customHeight="1" x14ac:dyDescent="0.2">
      <c r="A926" s="22"/>
      <c r="B926" s="23"/>
      <c r="C926" s="23"/>
      <c r="D926" s="24"/>
      <c r="E926" s="24"/>
      <c r="F926" s="24"/>
      <c r="G926" s="24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7"/>
      <c r="AN926" s="25"/>
      <c r="AO926" s="25"/>
      <c r="AP926" s="28"/>
      <c r="AQ926" s="25"/>
      <c r="AR926" s="25"/>
      <c r="AS926" s="28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F926" s="25"/>
      <c r="BG926" s="25"/>
      <c r="BH926" s="25"/>
      <c r="BI926" s="25"/>
      <c r="BJ926" s="24"/>
      <c r="BK926" s="24"/>
      <c r="BL926" s="25"/>
      <c r="BM926" s="25"/>
      <c r="BN926" s="25"/>
    </row>
    <row r="927" spans="1:66" ht="13.5" customHeight="1" x14ac:dyDescent="0.2">
      <c r="A927" s="22"/>
      <c r="B927" s="23"/>
      <c r="C927" s="23"/>
      <c r="D927" s="24"/>
      <c r="E927" s="24"/>
      <c r="F927" s="24"/>
      <c r="G927" s="24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7"/>
      <c r="AN927" s="25"/>
      <c r="AO927" s="25"/>
      <c r="AP927" s="28"/>
      <c r="AQ927" s="25"/>
      <c r="AR927" s="25"/>
      <c r="AS927" s="28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F927" s="25"/>
      <c r="BG927" s="25"/>
      <c r="BH927" s="25"/>
      <c r="BI927" s="25"/>
      <c r="BJ927" s="24"/>
      <c r="BK927" s="24"/>
      <c r="BL927" s="25"/>
      <c r="BM927" s="25"/>
      <c r="BN927" s="25"/>
    </row>
    <row r="928" spans="1:66" ht="13.5" customHeight="1" x14ac:dyDescent="0.2">
      <c r="A928" s="22"/>
      <c r="B928" s="23"/>
      <c r="C928" s="23"/>
      <c r="D928" s="24"/>
      <c r="E928" s="24"/>
      <c r="F928" s="24"/>
      <c r="G928" s="24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7"/>
      <c r="AN928" s="25"/>
      <c r="AO928" s="25"/>
      <c r="AP928" s="28"/>
      <c r="AQ928" s="25"/>
      <c r="AR928" s="25"/>
      <c r="AS928" s="28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F928" s="25"/>
      <c r="BG928" s="25"/>
      <c r="BH928" s="25"/>
      <c r="BI928" s="25"/>
      <c r="BJ928" s="24"/>
      <c r="BK928" s="24"/>
      <c r="BL928" s="25"/>
      <c r="BM928" s="25"/>
      <c r="BN928" s="25"/>
    </row>
    <row r="929" spans="1:66" ht="13.5" customHeight="1" x14ac:dyDescent="0.2">
      <c r="A929" s="22"/>
      <c r="B929" s="23"/>
      <c r="C929" s="23"/>
      <c r="D929" s="24"/>
      <c r="E929" s="24"/>
      <c r="F929" s="24"/>
      <c r="G929" s="24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7"/>
      <c r="AN929" s="25"/>
      <c r="AO929" s="25"/>
      <c r="AP929" s="28"/>
      <c r="AQ929" s="25"/>
      <c r="AR929" s="25"/>
      <c r="AS929" s="28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F929" s="25"/>
      <c r="BG929" s="25"/>
      <c r="BH929" s="25"/>
      <c r="BI929" s="25"/>
      <c r="BJ929" s="24"/>
      <c r="BK929" s="24"/>
      <c r="BL929" s="25"/>
      <c r="BM929" s="25"/>
      <c r="BN929" s="25"/>
    </row>
    <row r="930" spans="1:66" ht="13.5" customHeight="1" x14ac:dyDescent="0.2">
      <c r="A930" s="22"/>
      <c r="B930" s="23"/>
      <c r="C930" s="23"/>
      <c r="D930" s="24"/>
      <c r="E930" s="24"/>
      <c r="F930" s="24"/>
      <c r="G930" s="24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7"/>
      <c r="AN930" s="25"/>
      <c r="AO930" s="25"/>
      <c r="AP930" s="28"/>
      <c r="AQ930" s="25"/>
      <c r="AR930" s="25"/>
      <c r="AS930" s="28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F930" s="25"/>
      <c r="BG930" s="25"/>
      <c r="BH930" s="25"/>
      <c r="BI930" s="25"/>
      <c r="BJ930" s="24"/>
      <c r="BK930" s="24"/>
      <c r="BL930" s="25"/>
      <c r="BM930" s="25"/>
      <c r="BN930" s="25"/>
    </row>
    <row r="931" spans="1:66" ht="13.5" customHeight="1" x14ac:dyDescent="0.2">
      <c r="A931" s="22"/>
      <c r="B931" s="23"/>
      <c r="C931" s="23"/>
      <c r="D931" s="24"/>
      <c r="E931" s="24"/>
      <c r="F931" s="24"/>
      <c r="G931" s="24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7"/>
      <c r="AN931" s="25"/>
      <c r="AO931" s="25"/>
      <c r="AP931" s="28"/>
      <c r="AQ931" s="25"/>
      <c r="AR931" s="25"/>
      <c r="AS931" s="28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F931" s="25"/>
      <c r="BG931" s="25"/>
      <c r="BH931" s="25"/>
      <c r="BI931" s="25"/>
      <c r="BJ931" s="24"/>
      <c r="BK931" s="24"/>
      <c r="BL931" s="25"/>
      <c r="BM931" s="25"/>
      <c r="BN931" s="25"/>
    </row>
    <row r="932" spans="1:66" ht="13.5" customHeight="1" x14ac:dyDescent="0.2">
      <c r="A932" s="22"/>
      <c r="B932" s="23"/>
      <c r="C932" s="23"/>
      <c r="D932" s="24"/>
      <c r="E932" s="24"/>
      <c r="F932" s="24"/>
      <c r="G932" s="24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7"/>
      <c r="AN932" s="25"/>
      <c r="AO932" s="25"/>
      <c r="AP932" s="28"/>
      <c r="AQ932" s="25"/>
      <c r="AR932" s="25"/>
      <c r="AS932" s="28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F932" s="25"/>
      <c r="BG932" s="25"/>
      <c r="BH932" s="25"/>
      <c r="BI932" s="25"/>
      <c r="BJ932" s="24"/>
      <c r="BK932" s="24"/>
      <c r="BL932" s="25"/>
      <c r="BM932" s="25"/>
      <c r="BN932" s="25"/>
    </row>
    <row r="933" spans="1:66" ht="13.5" customHeight="1" x14ac:dyDescent="0.2">
      <c r="A933" s="22"/>
      <c r="B933" s="23"/>
      <c r="C933" s="23"/>
      <c r="D933" s="24"/>
      <c r="E933" s="24"/>
      <c r="F933" s="24"/>
      <c r="G933" s="24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7"/>
      <c r="AN933" s="25"/>
      <c r="AO933" s="25"/>
      <c r="AP933" s="28"/>
      <c r="AQ933" s="25"/>
      <c r="AR933" s="25"/>
      <c r="AS933" s="28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F933" s="25"/>
      <c r="BG933" s="25"/>
      <c r="BH933" s="25"/>
      <c r="BI933" s="25"/>
      <c r="BJ933" s="24"/>
      <c r="BK933" s="24"/>
      <c r="BL933" s="25"/>
      <c r="BM933" s="25"/>
      <c r="BN933" s="25"/>
    </row>
    <row r="934" spans="1:66" ht="13.5" customHeight="1" x14ac:dyDescent="0.2">
      <c r="A934" s="22"/>
      <c r="B934" s="23"/>
      <c r="C934" s="23"/>
      <c r="D934" s="24"/>
      <c r="E934" s="24"/>
      <c r="F934" s="24"/>
      <c r="G934" s="24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7"/>
      <c r="AN934" s="25"/>
      <c r="AO934" s="25"/>
      <c r="AP934" s="28"/>
      <c r="AQ934" s="25"/>
      <c r="AR934" s="25"/>
      <c r="AS934" s="28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F934" s="25"/>
      <c r="BG934" s="25"/>
      <c r="BH934" s="25"/>
      <c r="BI934" s="25"/>
      <c r="BJ934" s="24"/>
      <c r="BK934" s="24"/>
      <c r="BL934" s="25"/>
      <c r="BM934" s="25"/>
      <c r="BN934" s="25"/>
    </row>
    <row r="935" spans="1:66" ht="13.5" customHeight="1" x14ac:dyDescent="0.2">
      <c r="A935" s="22"/>
      <c r="B935" s="23"/>
      <c r="C935" s="23"/>
      <c r="D935" s="24"/>
      <c r="E935" s="24"/>
      <c r="F935" s="24"/>
      <c r="G935" s="24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7"/>
      <c r="AN935" s="25"/>
      <c r="AO935" s="25"/>
      <c r="AP935" s="28"/>
      <c r="AQ935" s="25"/>
      <c r="AR935" s="25"/>
      <c r="AS935" s="28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F935" s="25"/>
      <c r="BG935" s="25"/>
      <c r="BH935" s="25"/>
      <c r="BI935" s="25"/>
      <c r="BJ935" s="24"/>
      <c r="BK935" s="24"/>
      <c r="BL935" s="25"/>
      <c r="BM935" s="25"/>
      <c r="BN935" s="25"/>
    </row>
    <row r="936" spans="1:66" ht="13.5" customHeight="1" x14ac:dyDescent="0.2">
      <c r="A936" s="22"/>
      <c r="B936" s="23"/>
      <c r="C936" s="23"/>
      <c r="D936" s="24"/>
      <c r="E936" s="24"/>
      <c r="F936" s="24"/>
      <c r="G936" s="24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7"/>
      <c r="AN936" s="25"/>
      <c r="AO936" s="25"/>
      <c r="AP936" s="28"/>
      <c r="AQ936" s="25"/>
      <c r="AR936" s="25"/>
      <c r="AS936" s="28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F936" s="25"/>
      <c r="BG936" s="25"/>
      <c r="BH936" s="25"/>
      <c r="BI936" s="25"/>
      <c r="BJ936" s="24"/>
      <c r="BK936" s="24"/>
      <c r="BL936" s="25"/>
      <c r="BM936" s="25"/>
      <c r="BN936" s="25"/>
    </row>
    <row r="937" spans="1:66" ht="13.5" customHeight="1" x14ac:dyDescent="0.2">
      <c r="A937" s="22"/>
      <c r="B937" s="23"/>
      <c r="C937" s="23"/>
      <c r="D937" s="24"/>
      <c r="E937" s="24"/>
      <c r="F937" s="24"/>
      <c r="G937" s="24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7"/>
      <c r="AN937" s="25"/>
      <c r="AO937" s="25"/>
      <c r="AP937" s="28"/>
      <c r="AQ937" s="25"/>
      <c r="AR937" s="25"/>
      <c r="AS937" s="28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F937" s="25"/>
      <c r="BG937" s="25"/>
      <c r="BH937" s="25"/>
      <c r="BI937" s="25"/>
      <c r="BJ937" s="24"/>
      <c r="BK937" s="24"/>
      <c r="BL937" s="25"/>
      <c r="BM937" s="25"/>
      <c r="BN937" s="25"/>
    </row>
    <row r="938" spans="1:66" ht="13.5" customHeight="1" x14ac:dyDescent="0.2">
      <c r="A938" s="22"/>
      <c r="B938" s="23"/>
      <c r="C938" s="23"/>
      <c r="D938" s="24"/>
      <c r="E938" s="24"/>
      <c r="F938" s="24"/>
      <c r="G938" s="24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7"/>
      <c r="AN938" s="25"/>
      <c r="AO938" s="25"/>
      <c r="AP938" s="28"/>
      <c r="AQ938" s="25"/>
      <c r="AR938" s="25"/>
      <c r="AS938" s="28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F938" s="25"/>
      <c r="BG938" s="25"/>
      <c r="BH938" s="25"/>
      <c r="BI938" s="25"/>
      <c r="BJ938" s="24"/>
      <c r="BK938" s="24"/>
      <c r="BL938" s="25"/>
      <c r="BM938" s="25"/>
      <c r="BN938" s="25"/>
    </row>
    <row r="939" spans="1:66" ht="13.5" customHeight="1" x14ac:dyDescent="0.2">
      <c r="A939" s="22"/>
      <c r="B939" s="23"/>
      <c r="C939" s="23"/>
      <c r="D939" s="24"/>
      <c r="E939" s="24"/>
      <c r="F939" s="24"/>
      <c r="G939" s="24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7"/>
      <c r="AN939" s="25"/>
      <c r="AO939" s="25"/>
      <c r="AP939" s="28"/>
      <c r="AQ939" s="25"/>
      <c r="AR939" s="25"/>
      <c r="AS939" s="28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F939" s="25"/>
      <c r="BG939" s="25"/>
      <c r="BH939" s="25"/>
      <c r="BI939" s="25"/>
      <c r="BJ939" s="24"/>
      <c r="BK939" s="24"/>
      <c r="BL939" s="25"/>
      <c r="BM939" s="25"/>
      <c r="BN939" s="25"/>
    </row>
    <row r="940" spans="1:66" ht="13.5" customHeight="1" x14ac:dyDescent="0.2">
      <c r="A940" s="22"/>
      <c r="B940" s="23"/>
      <c r="C940" s="23"/>
      <c r="D940" s="24"/>
      <c r="E940" s="24"/>
      <c r="F940" s="24"/>
      <c r="G940" s="24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7"/>
      <c r="AN940" s="25"/>
      <c r="AO940" s="25"/>
      <c r="AP940" s="28"/>
      <c r="AQ940" s="25"/>
      <c r="AR940" s="25"/>
      <c r="AS940" s="28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F940" s="25"/>
      <c r="BG940" s="25"/>
      <c r="BH940" s="25"/>
      <c r="BI940" s="25"/>
      <c r="BJ940" s="24"/>
      <c r="BK940" s="24"/>
      <c r="BL940" s="25"/>
      <c r="BM940" s="25"/>
      <c r="BN940" s="25"/>
    </row>
    <row r="941" spans="1:66" ht="13.5" customHeight="1" x14ac:dyDescent="0.2">
      <c r="A941" s="22"/>
      <c r="B941" s="23"/>
      <c r="C941" s="23"/>
      <c r="D941" s="24"/>
      <c r="E941" s="24"/>
      <c r="F941" s="24"/>
      <c r="G941" s="24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7"/>
      <c r="AN941" s="25"/>
      <c r="AO941" s="25"/>
      <c r="AP941" s="28"/>
      <c r="AQ941" s="25"/>
      <c r="AR941" s="25"/>
      <c r="AS941" s="28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F941" s="25"/>
      <c r="BG941" s="25"/>
      <c r="BH941" s="25"/>
      <c r="BI941" s="25"/>
      <c r="BJ941" s="24"/>
      <c r="BK941" s="24"/>
      <c r="BL941" s="25"/>
      <c r="BM941" s="25"/>
      <c r="BN941" s="25"/>
    </row>
    <row r="942" spans="1:66" ht="13.5" customHeight="1" x14ac:dyDescent="0.2">
      <c r="A942" s="22"/>
      <c r="B942" s="23"/>
      <c r="C942" s="23"/>
      <c r="D942" s="24"/>
      <c r="E942" s="24"/>
      <c r="F942" s="24"/>
      <c r="G942" s="24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7"/>
      <c r="AN942" s="25"/>
      <c r="AO942" s="25"/>
      <c r="AP942" s="28"/>
      <c r="AQ942" s="25"/>
      <c r="AR942" s="25"/>
      <c r="AS942" s="28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F942" s="25"/>
      <c r="BG942" s="25"/>
      <c r="BH942" s="25"/>
      <c r="BI942" s="25"/>
      <c r="BJ942" s="24"/>
      <c r="BK942" s="24"/>
      <c r="BL942" s="25"/>
      <c r="BM942" s="25"/>
      <c r="BN942" s="25"/>
    </row>
    <row r="943" spans="1:66" ht="13.5" customHeight="1" x14ac:dyDescent="0.2">
      <c r="A943" s="22"/>
      <c r="B943" s="23"/>
      <c r="C943" s="23"/>
      <c r="D943" s="24"/>
      <c r="E943" s="24"/>
      <c r="F943" s="24"/>
      <c r="G943" s="24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7"/>
      <c r="AN943" s="25"/>
      <c r="AO943" s="25"/>
      <c r="AP943" s="28"/>
      <c r="AQ943" s="25"/>
      <c r="AR943" s="25"/>
      <c r="AS943" s="28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F943" s="25"/>
      <c r="BG943" s="25"/>
      <c r="BH943" s="25"/>
      <c r="BI943" s="25"/>
      <c r="BJ943" s="24"/>
      <c r="BK943" s="24"/>
      <c r="BL943" s="25"/>
      <c r="BM943" s="25"/>
      <c r="BN943" s="25"/>
    </row>
    <row r="944" spans="1:66" ht="13.5" customHeight="1" x14ac:dyDescent="0.2">
      <c r="A944" s="22"/>
      <c r="B944" s="23"/>
      <c r="C944" s="23"/>
      <c r="D944" s="24"/>
      <c r="E944" s="24"/>
      <c r="F944" s="24"/>
      <c r="G944" s="24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7"/>
      <c r="AN944" s="25"/>
      <c r="AO944" s="25"/>
      <c r="AP944" s="28"/>
      <c r="AQ944" s="25"/>
      <c r="AR944" s="25"/>
      <c r="AS944" s="28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F944" s="25"/>
      <c r="BG944" s="25"/>
      <c r="BH944" s="25"/>
      <c r="BI944" s="25"/>
      <c r="BJ944" s="24"/>
      <c r="BK944" s="24"/>
      <c r="BL944" s="25"/>
      <c r="BM944" s="25"/>
      <c r="BN944" s="25"/>
    </row>
    <row r="945" spans="1:66" ht="13.5" customHeight="1" x14ac:dyDescent="0.2">
      <c r="A945" s="22"/>
      <c r="B945" s="23"/>
      <c r="C945" s="23"/>
      <c r="D945" s="24"/>
      <c r="E945" s="24"/>
      <c r="F945" s="24"/>
      <c r="G945" s="24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7"/>
      <c r="AN945" s="25"/>
      <c r="AO945" s="25"/>
      <c r="AP945" s="28"/>
      <c r="AQ945" s="25"/>
      <c r="AR945" s="25"/>
      <c r="AS945" s="28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F945" s="25"/>
      <c r="BG945" s="25"/>
      <c r="BH945" s="25"/>
      <c r="BI945" s="25"/>
      <c r="BJ945" s="24"/>
      <c r="BK945" s="24"/>
      <c r="BL945" s="25"/>
      <c r="BM945" s="25"/>
      <c r="BN945" s="25"/>
    </row>
    <row r="946" spans="1:66" ht="13.5" customHeight="1" x14ac:dyDescent="0.2">
      <c r="A946" s="22"/>
      <c r="B946" s="23"/>
      <c r="C946" s="23"/>
      <c r="D946" s="24"/>
      <c r="E946" s="24"/>
      <c r="F946" s="24"/>
      <c r="G946" s="24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7"/>
      <c r="AN946" s="25"/>
      <c r="AO946" s="25"/>
      <c r="AP946" s="28"/>
      <c r="AQ946" s="25"/>
      <c r="AR946" s="25"/>
      <c r="AS946" s="28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F946" s="25"/>
      <c r="BG946" s="25"/>
      <c r="BH946" s="25"/>
      <c r="BI946" s="25"/>
      <c r="BJ946" s="24"/>
      <c r="BK946" s="24"/>
      <c r="BL946" s="25"/>
      <c r="BM946" s="25"/>
      <c r="BN946" s="25"/>
    </row>
    <row r="947" spans="1:66" ht="13.5" customHeight="1" x14ac:dyDescent="0.2">
      <c r="A947" s="22"/>
      <c r="B947" s="23"/>
      <c r="C947" s="23"/>
      <c r="D947" s="24"/>
      <c r="E947" s="24"/>
      <c r="F947" s="24"/>
      <c r="G947" s="24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7"/>
      <c r="AN947" s="25"/>
      <c r="AO947" s="25"/>
      <c r="AP947" s="28"/>
      <c r="AQ947" s="25"/>
      <c r="AR947" s="25"/>
      <c r="AS947" s="28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F947" s="25"/>
      <c r="BG947" s="25"/>
      <c r="BH947" s="25"/>
      <c r="BI947" s="25"/>
      <c r="BJ947" s="24"/>
      <c r="BK947" s="24"/>
      <c r="BL947" s="25"/>
      <c r="BM947" s="25"/>
      <c r="BN947" s="25"/>
    </row>
    <row r="948" spans="1:66" ht="13.5" customHeight="1" x14ac:dyDescent="0.2">
      <c r="A948" s="22"/>
      <c r="B948" s="23"/>
      <c r="C948" s="23"/>
      <c r="D948" s="24"/>
      <c r="E948" s="24"/>
      <c r="F948" s="24"/>
      <c r="G948" s="24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7"/>
      <c r="AN948" s="25"/>
      <c r="AO948" s="25"/>
      <c r="AP948" s="28"/>
      <c r="AQ948" s="25"/>
      <c r="AR948" s="25"/>
      <c r="AS948" s="28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F948" s="25"/>
      <c r="BG948" s="25"/>
      <c r="BH948" s="25"/>
      <c r="BI948" s="25"/>
      <c r="BJ948" s="24"/>
      <c r="BK948" s="24"/>
      <c r="BL948" s="25"/>
      <c r="BM948" s="25"/>
      <c r="BN948" s="25"/>
    </row>
    <row r="949" spans="1:66" ht="13.5" customHeight="1" x14ac:dyDescent="0.2">
      <c r="A949" s="22"/>
      <c r="B949" s="23"/>
      <c r="C949" s="23"/>
      <c r="D949" s="24"/>
      <c r="E949" s="24"/>
      <c r="F949" s="24"/>
      <c r="G949" s="24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7"/>
      <c r="AN949" s="25"/>
      <c r="AO949" s="25"/>
      <c r="AP949" s="28"/>
      <c r="AQ949" s="25"/>
      <c r="AR949" s="25"/>
      <c r="AS949" s="28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F949" s="25"/>
      <c r="BG949" s="25"/>
      <c r="BH949" s="25"/>
      <c r="BI949" s="25"/>
      <c r="BJ949" s="24"/>
      <c r="BK949" s="24"/>
      <c r="BL949" s="25"/>
      <c r="BM949" s="25"/>
      <c r="BN949" s="25"/>
    </row>
    <row r="950" spans="1:66" ht="13.5" customHeight="1" x14ac:dyDescent="0.2">
      <c r="A950" s="22"/>
      <c r="B950" s="23"/>
      <c r="C950" s="23"/>
      <c r="D950" s="24"/>
      <c r="E950" s="24"/>
      <c r="F950" s="24"/>
      <c r="G950" s="24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7"/>
      <c r="AN950" s="25"/>
      <c r="AO950" s="25"/>
      <c r="AP950" s="28"/>
      <c r="AQ950" s="25"/>
      <c r="AR950" s="25"/>
      <c r="AS950" s="28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F950" s="25"/>
      <c r="BG950" s="25"/>
      <c r="BH950" s="25"/>
      <c r="BI950" s="25"/>
      <c r="BJ950" s="24"/>
      <c r="BK950" s="24"/>
      <c r="BL950" s="25"/>
      <c r="BM950" s="25"/>
      <c r="BN950" s="25"/>
    </row>
    <row r="951" spans="1:66" ht="13.5" customHeight="1" x14ac:dyDescent="0.2">
      <c r="A951" s="22"/>
      <c r="B951" s="23"/>
      <c r="C951" s="23"/>
      <c r="D951" s="24"/>
      <c r="E951" s="24"/>
      <c r="F951" s="24"/>
      <c r="G951" s="24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7"/>
      <c r="AN951" s="25"/>
      <c r="AO951" s="25"/>
      <c r="AP951" s="28"/>
      <c r="AQ951" s="25"/>
      <c r="AR951" s="25"/>
      <c r="AS951" s="28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F951" s="25"/>
      <c r="BG951" s="25"/>
      <c r="BH951" s="25"/>
      <c r="BI951" s="25"/>
      <c r="BJ951" s="24"/>
      <c r="BK951" s="24"/>
      <c r="BL951" s="25"/>
      <c r="BM951" s="25"/>
      <c r="BN951" s="25"/>
    </row>
    <row r="952" spans="1:66" ht="13.5" customHeight="1" x14ac:dyDescent="0.2">
      <c r="A952" s="22"/>
      <c r="B952" s="23"/>
      <c r="C952" s="23"/>
      <c r="D952" s="24"/>
      <c r="E952" s="24"/>
      <c r="F952" s="24"/>
      <c r="G952" s="24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7"/>
      <c r="AN952" s="25"/>
      <c r="AO952" s="25"/>
      <c r="AP952" s="28"/>
      <c r="AQ952" s="25"/>
      <c r="AR952" s="25"/>
      <c r="AS952" s="28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F952" s="25"/>
      <c r="BG952" s="25"/>
      <c r="BH952" s="25"/>
      <c r="BI952" s="25"/>
      <c r="BJ952" s="24"/>
      <c r="BK952" s="24"/>
      <c r="BL952" s="25"/>
      <c r="BM952" s="25"/>
      <c r="BN952" s="25"/>
    </row>
    <row r="953" spans="1:66" ht="13.5" customHeight="1" x14ac:dyDescent="0.2">
      <c r="A953" s="22"/>
      <c r="B953" s="23"/>
      <c r="C953" s="23"/>
      <c r="D953" s="24"/>
      <c r="E953" s="24"/>
      <c r="F953" s="24"/>
      <c r="G953" s="24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7"/>
      <c r="AN953" s="25"/>
      <c r="AO953" s="25"/>
      <c r="AP953" s="28"/>
      <c r="AQ953" s="25"/>
      <c r="AR953" s="25"/>
      <c r="AS953" s="28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F953" s="25"/>
      <c r="BG953" s="25"/>
      <c r="BH953" s="25"/>
      <c r="BI953" s="25"/>
      <c r="BJ953" s="24"/>
      <c r="BK953" s="24"/>
      <c r="BL953" s="25"/>
      <c r="BM953" s="25"/>
      <c r="BN953" s="25"/>
    </row>
    <row r="954" spans="1:66" ht="13.5" customHeight="1" x14ac:dyDescent="0.2">
      <c r="A954" s="22"/>
      <c r="B954" s="23"/>
      <c r="C954" s="23"/>
      <c r="D954" s="24"/>
      <c r="E954" s="24"/>
      <c r="F954" s="24"/>
      <c r="G954" s="24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7"/>
      <c r="AN954" s="25"/>
      <c r="AO954" s="25"/>
      <c r="AP954" s="28"/>
      <c r="AQ954" s="25"/>
      <c r="AR954" s="25"/>
      <c r="AS954" s="28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F954" s="25"/>
      <c r="BG954" s="25"/>
      <c r="BH954" s="25"/>
      <c r="BI954" s="25"/>
      <c r="BJ954" s="24"/>
      <c r="BK954" s="24"/>
      <c r="BL954" s="25"/>
      <c r="BM954" s="25"/>
      <c r="BN954" s="25"/>
    </row>
    <row r="955" spans="1:66" ht="13.5" customHeight="1" x14ac:dyDescent="0.2">
      <c r="A955" s="22"/>
      <c r="B955" s="23"/>
      <c r="C955" s="23"/>
      <c r="D955" s="24"/>
      <c r="E955" s="24"/>
      <c r="F955" s="24"/>
      <c r="G955" s="24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7"/>
      <c r="AN955" s="25"/>
      <c r="AO955" s="25"/>
      <c r="AP955" s="28"/>
      <c r="AQ955" s="25"/>
      <c r="AR955" s="25"/>
      <c r="AS955" s="28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F955" s="25"/>
      <c r="BG955" s="25"/>
      <c r="BH955" s="25"/>
      <c r="BI955" s="25"/>
      <c r="BJ955" s="24"/>
      <c r="BK955" s="24"/>
      <c r="BL955" s="25"/>
      <c r="BM955" s="25"/>
      <c r="BN955" s="25"/>
    </row>
    <row r="956" spans="1:66" ht="13.5" customHeight="1" x14ac:dyDescent="0.2">
      <c r="A956" s="22"/>
      <c r="B956" s="23"/>
      <c r="C956" s="23"/>
      <c r="D956" s="24"/>
      <c r="E956" s="24"/>
      <c r="F956" s="24"/>
      <c r="G956" s="24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7"/>
      <c r="AN956" s="25"/>
      <c r="AO956" s="25"/>
      <c r="AP956" s="28"/>
      <c r="AQ956" s="25"/>
      <c r="AR956" s="25"/>
      <c r="AS956" s="28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F956" s="25"/>
      <c r="BG956" s="25"/>
      <c r="BH956" s="25"/>
      <c r="BI956" s="25"/>
      <c r="BJ956" s="24"/>
      <c r="BK956" s="24"/>
      <c r="BL956" s="25"/>
      <c r="BM956" s="25"/>
      <c r="BN956" s="25"/>
    </row>
    <row r="957" spans="1:66" ht="13.5" customHeight="1" x14ac:dyDescent="0.2">
      <c r="A957" s="22"/>
      <c r="B957" s="23"/>
      <c r="C957" s="23"/>
      <c r="D957" s="24"/>
      <c r="E957" s="24"/>
      <c r="F957" s="24"/>
      <c r="G957" s="24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7"/>
      <c r="AN957" s="25"/>
      <c r="AO957" s="25"/>
      <c r="AP957" s="28"/>
      <c r="AQ957" s="25"/>
      <c r="AR957" s="25"/>
      <c r="AS957" s="28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F957" s="25"/>
      <c r="BG957" s="25"/>
      <c r="BH957" s="25"/>
      <c r="BI957" s="25"/>
      <c r="BJ957" s="24"/>
      <c r="BK957" s="24"/>
      <c r="BL957" s="25"/>
      <c r="BM957" s="25"/>
      <c r="BN957" s="25"/>
    </row>
    <row r="958" spans="1:66" ht="13.5" customHeight="1" x14ac:dyDescent="0.2">
      <c r="A958" s="22"/>
      <c r="B958" s="23"/>
      <c r="C958" s="23"/>
      <c r="D958" s="24"/>
      <c r="E958" s="24"/>
      <c r="F958" s="24"/>
      <c r="G958" s="24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7"/>
      <c r="AN958" s="25"/>
      <c r="AO958" s="25"/>
      <c r="AP958" s="28"/>
      <c r="AQ958" s="25"/>
      <c r="AR958" s="25"/>
      <c r="AS958" s="28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F958" s="25"/>
      <c r="BG958" s="25"/>
      <c r="BH958" s="25"/>
      <c r="BI958" s="25"/>
      <c r="BJ958" s="24"/>
      <c r="BK958" s="24"/>
      <c r="BL958" s="25"/>
      <c r="BM958" s="25"/>
      <c r="BN958" s="25"/>
    </row>
    <row r="959" spans="1:66" ht="13.5" customHeight="1" x14ac:dyDescent="0.2">
      <c r="A959" s="22"/>
      <c r="B959" s="23"/>
      <c r="C959" s="23"/>
      <c r="D959" s="24"/>
      <c r="E959" s="24"/>
      <c r="F959" s="24"/>
      <c r="G959" s="24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7"/>
      <c r="AN959" s="25"/>
      <c r="AO959" s="25"/>
      <c r="AP959" s="28"/>
      <c r="AQ959" s="25"/>
      <c r="AR959" s="25"/>
      <c r="AS959" s="28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F959" s="25"/>
      <c r="BG959" s="25"/>
      <c r="BH959" s="25"/>
      <c r="BI959" s="25"/>
      <c r="BJ959" s="24"/>
      <c r="BK959" s="24"/>
      <c r="BL959" s="25"/>
      <c r="BM959" s="25"/>
      <c r="BN959" s="25"/>
    </row>
    <row r="960" spans="1:66" ht="13.5" customHeight="1" x14ac:dyDescent="0.2">
      <c r="A960" s="22"/>
      <c r="B960" s="23"/>
      <c r="C960" s="23"/>
      <c r="D960" s="24"/>
      <c r="E960" s="24"/>
      <c r="F960" s="24"/>
      <c r="G960" s="24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7"/>
      <c r="AN960" s="25"/>
      <c r="AO960" s="25"/>
      <c r="AP960" s="28"/>
      <c r="AQ960" s="25"/>
      <c r="AR960" s="25"/>
      <c r="AS960" s="28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F960" s="25"/>
      <c r="BG960" s="25"/>
      <c r="BH960" s="25"/>
      <c r="BI960" s="25"/>
      <c r="BJ960" s="24"/>
      <c r="BK960" s="24"/>
      <c r="BL960" s="25"/>
      <c r="BM960" s="25"/>
      <c r="BN960" s="25"/>
    </row>
    <row r="961" spans="1:66" ht="13.5" customHeight="1" x14ac:dyDescent="0.2">
      <c r="A961" s="22"/>
      <c r="B961" s="23"/>
      <c r="C961" s="23"/>
      <c r="D961" s="24"/>
      <c r="E961" s="24"/>
      <c r="F961" s="24"/>
      <c r="G961" s="24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7"/>
      <c r="AN961" s="25"/>
      <c r="AO961" s="25"/>
      <c r="AP961" s="28"/>
      <c r="AQ961" s="25"/>
      <c r="AR961" s="25"/>
      <c r="AS961" s="28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F961" s="25"/>
      <c r="BG961" s="25"/>
      <c r="BH961" s="25"/>
      <c r="BI961" s="25"/>
      <c r="BJ961" s="24"/>
      <c r="BK961" s="24"/>
      <c r="BL961" s="25"/>
      <c r="BM961" s="25"/>
      <c r="BN961" s="25"/>
    </row>
    <row r="962" spans="1:66" ht="13.5" customHeight="1" x14ac:dyDescent="0.2">
      <c r="A962" s="22"/>
      <c r="B962" s="23"/>
      <c r="C962" s="23"/>
      <c r="D962" s="24"/>
      <c r="E962" s="24"/>
      <c r="F962" s="24"/>
      <c r="G962" s="24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7"/>
      <c r="AN962" s="25"/>
      <c r="AO962" s="25"/>
      <c r="AP962" s="28"/>
      <c r="AQ962" s="25"/>
      <c r="AR962" s="25"/>
      <c r="AS962" s="28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F962" s="25"/>
      <c r="BG962" s="25"/>
      <c r="BH962" s="25"/>
      <c r="BI962" s="25"/>
      <c r="BJ962" s="24"/>
      <c r="BK962" s="24"/>
      <c r="BL962" s="25"/>
      <c r="BM962" s="25"/>
      <c r="BN962" s="25"/>
    </row>
    <row r="963" spans="1:66" ht="13.5" customHeight="1" x14ac:dyDescent="0.2">
      <c r="A963" s="22"/>
      <c r="B963" s="23"/>
      <c r="C963" s="23"/>
      <c r="D963" s="24"/>
      <c r="E963" s="24"/>
      <c r="F963" s="24"/>
      <c r="G963" s="24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7"/>
      <c r="AN963" s="25"/>
      <c r="AO963" s="25"/>
      <c r="AP963" s="28"/>
      <c r="AQ963" s="25"/>
      <c r="AR963" s="25"/>
      <c r="AS963" s="28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F963" s="25"/>
      <c r="BG963" s="25"/>
      <c r="BH963" s="25"/>
      <c r="BI963" s="25"/>
      <c r="BJ963" s="24"/>
      <c r="BK963" s="24"/>
      <c r="BL963" s="25"/>
      <c r="BM963" s="25"/>
      <c r="BN963" s="25"/>
    </row>
    <row r="964" spans="1:66" ht="13.5" customHeight="1" x14ac:dyDescent="0.2">
      <c r="A964" s="22"/>
      <c r="B964" s="23"/>
      <c r="C964" s="23"/>
      <c r="D964" s="24"/>
      <c r="E964" s="24"/>
      <c r="F964" s="24"/>
      <c r="G964" s="24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7"/>
      <c r="AN964" s="25"/>
      <c r="AO964" s="25"/>
      <c r="AP964" s="28"/>
      <c r="AQ964" s="25"/>
      <c r="AR964" s="25"/>
      <c r="AS964" s="28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F964" s="25"/>
      <c r="BG964" s="25"/>
      <c r="BH964" s="25"/>
      <c r="BI964" s="25"/>
      <c r="BJ964" s="24"/>
      <c r="BK964" s="24"/>
      <c r="BL964" s="25"/>
      <c r="BM964" s="25"/>
      <c r="BN964" s="25"/>
    </row>
    <row r="965" spans="1:66" ht="13.5" customHeight="1" x14ac:dyDescent="0.2">
      <c r="A965" s="22"/>
      <c r="B965" s="23"/>
      <c r="C965" s="23"/>
      <c r="D965" s="24"/>
      <c r="E965" s="24"/>
      <c r="F965" s="24"/>
      <c r="G965" s="24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7"/>
      <c r="AN965" s="25"/>
      <c r="AO965" s="25"/>
      <c r="AP965" s="28"/>
      <c r="AQ965" s="25"/>
      <c r="AR965" s="25"/>
      <c r="AS965" s="28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F965" s="25"/>
      <c r="BG965" s="25"/>
      <c r="BH965" s="25"/>
      <c r="BI965" s="25"/>
      <c r="BJ965" s="24"/>
      <c r="BK965" s="24"/>
      <c r="BL965" s="25"/>
      <c r="BM965" s="25"/>
      <c r="BN965" s="25"/>
    </row>
    <row r="966" spans="1:66" ht="13.5" customHeight="1" x14ac:dyDescent="0.2">
      <c r="A966" s="22"/>
      <c r="B966" s="23"/>
      <c r="C966" s="23"/>
      <c r="D966" s="24"/>
      <c r="E966" s="24"/>
      <c r="F966" s="24"/>
      <c r="G966" s="24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7"/>
      <c r="AN966" s="25"/>
      <c r="AO966" s="25"/>
      <c r="AP966" s="28"/>
      <c r="AQ966" s="25"/>
      <c r="AR966" s="25"/>
      <c r="AS966" s="28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F966" s="25"/>
      <c r="BG966" s="25"/>
      <c r="BH966" s="25"/>
      <c r="BI966" s="25"/>
      <c r="BJ966" s="24"/>
      <c r="BK966" s="24"/>
      <c r="BL966" s="25"/>
      <c r="BM966" s="25"/>
      <c r="BN966" s="25"/>
    </row>
    <row r="967" spans="1:66" ht="13.5" customHeight="1" x14ac:dyDescent="0.2">
      <c r="A967" s="22"/>
      <c r="B967" s="23"/>
      <c r="C967" s="23"/>
      <c r="D967" s="24"/>
      <c r="E967" s="24"/>
      <c r="F967" s="24"/>
      <c r="G967" s="24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7"/>
      <c r="AN967" s="25"/>
      <c r="AO967" s="25"/>
      <c r="AP967" s="28"/>
      <c r="AQ967" s="25"/>
      <c r="AR967" s="25"/>
      <c r="AS967" s="28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F967" s="25"/>
      <c r="BG967" s="25"/>
      <c r="BH967" s="25"/>
      <c r="BI967" s="25"/>
      <c r="BJ967" s="24"/>
      <c r="BK967" s="24"/>
      <c r="BL967" s="25"/>
      <c r="BM967" s="25"/>
      <c r="BN967" s="25"/>
    </row>
    <row r="968" spans="1:66" ht="13.5" customHeight="1" x14ac:dyDescent="0.2">
      <c r="A968" s="22"/>
      <c r="B968" s="23"/>
      <c r="C968" s="23"/>
      <c r="D968" s="24"/>
      <c r="E968" s="24"/>
      <c r="F968" s="24"/>
      <c r="G968" s="24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7"/>
      <c r="AN968" s="25"/>
      <c r="AO968" s="25"/>
      <c r="AP968" s="28"/>
      <c r="AQ968" s="25"/>
      <c r="AR968" s="25"/>
      <c r="AS968" s="28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F968" s="25"/>
      <c r="BG968" s="25"/>
      <c r="BH968" s="25"/>
      <c r="BI968" s="25"/>
      <c r="BJ968" s="24"/>
      <c r="BK968" s="24"/>
      <c r="BL968" s="25"/>
      <c r="BM968" s="25"/>
      <c r="BN968" s="25"/>
    </row>
    <row r="969" spans="1:66" ht="13.5" customHeight="1" x14ac:dyDescent="0.2">
      <c r="A969" s="22"/>
      <c r="B969" s="23"/>
      <c r="C969" s="23"/>
      <c r="D969" s="24"/>
      <c r="E969" s="24"/>
      <c r="F969" s="24"/>
      <c r="G969" s="24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7"/>
      <c r="AN969" s="25"/>
      <c r="AO969" s="25"/>
      <c r="AP969" s="28"/>
      <c r="AQ969" s="25"/>
      <c r="AR969" s="25"/>
      <c r="AS969" s="28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F969" s="25"/>
      <c r="BG969" s="25"/>
      <c r="BH969" s="25"/>
      <c r="BI969" s="25"/>
      <c r="BJ969" s="24"/>
      <c r="BK969" s="24"/>
      <c r="BL969" s="25"/>
      <c r="BM969" s="25"/>
      <c r="BN969" s="25"/>
    </row>
    <row r="970" spans="1:66" ht="13.5" customHeight="1" x14ac:dyDescent="0.2">
      <c r="A970" s="22"/>
      <c r="B970" s="23"/>
      <c r="C970" s="23"/>
      <c r="D970" s="24"/>
      <c r="E970" s="24"/>
      <c r="F970" s="24"/>
      <c r="G970" s="24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7"/>
      <c r="AN970" s="25"/>
      <c r="AO970" s="25"/>
      <c r="AP970" s="28"/>
      <c r="AQ970" s="25"/>
      <c r="AR970" s="25"/>
      <c r="AS970" s="28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F970" s="25"/>
      <c r="BG970" s="25"/>
      <c r="BH970" s="25"/>
      <c r="BI970" s="25"/>
      <c r="BJ970" s="24"/>
      <c r="BK970" s="24"/>
      <c r="BL970" s="25"/>
      <c r="BM970" s="25"/>
      <c r="BN970" s="25"/>
    </row>
    <row r="971" spans="1:66" ht="13.5" customHeight="1" x14ac:dyDescent="0.2">
      <c r="A971" s="22"/>
      <c r="B971" s="23"/>
      <c r="C971" s="23"/>
      <c r="D971" s="24"/>
      <c r="E971" s="24"/>
      <c r="F971" s="24"/>
      <c r="G971" s="24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7"/>
      <c r="AN971" s="25"/>
      <c r="AO971" s="25"/>
      <c r="AP971" s="28"/>
      <c r="AQ971" s="25"/>
      <c r="AR971" s="25"/>
      <c r="AS971" s="28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F971" s="25"/>
      <c r="BG971" s="25"/>
      <c r="BH971" s="25"/>
      <c r="BI971" s="25"/>
      <c r="BJ971" s="24"/>
      <c r="BK971" s="24"/>
      <c r="BL971" s="25"/>
      <c r="BM971" s="25"/>
      <c r="BN971" s="25"/>
    </row>
    <row r="972" spans="1:66" ht="13.5" customHeight="1" x14ac:dyDescent="0.2">
      <c r="A972" s="22"/>
      <c r="B972" s="23"/>
      <c r="C972" s="23"/>
      <c r="D972" s="24"/>
      <c r="E972" s="24"/>
      <c r="F972" s="24"/>
      <c r="G972" s="24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7"/>
      <c r="AN972" s="25"/>
      <c r="AO972" s="25"/>
      <c r="AP972" s="28"/>
      <c r="AQ972" s="25"/>
      <c r="AR972" s="25"/>
      <c r="AS972" s="28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F972" s="25"/>
      <c r="BG972" s="25"/>
      <c r="BH972" s="25"/>
      <c r="BI972" s="25"/>
      <c r="BJ972" s="24"/>
      <c r="BK972" s="24"/>
      <c r="BL972" s="25"/>
      <c r="BM972" s="25"/>
      <c r="BN972" s="25"/>
    </row>
    <row r="973" spans="1:66" ht="13.5" customHeight="1" x14ac:dyDescent="0.2">
      <c r="A973" s="22"/>
      <c r="B973" s="23"/>
      <c r="C973" s="23"/>
      <c r="D973" s="24"/>
      <c r="E973" s="24"/>
      <c r="F973" s="24"/>
      <c r="G973" s="24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7"/>
      <c r="AN973" s="25"/>
      <c r="AO973" s="25"/>
      <c r="AP973" s="28"/>
      <c r="AQ973" s="25"/>
      <c r="AR973" s="25"/>
      <c r="AS973" s="28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F973" s="25"/>
      <c r="BG973" s="25"/>
      <c r="BH973" s="25"/>
      <c r="BI973" s="25"/>
      <c r="BJ973" s="24"/>
      <c r="BK973" s="24"/>
      <c r="BL973" s="25"/>
      <c r="BM973" s="25"/>
      <c r="BN973" s="25"/>
    </row>
    <row r="974" spans="1:66" ht="13.5" customHeight="1" x14ac:dyDescent="0.2">
      <c r="A974" s="22"/>
      <c r="B974" s="23"/>
      <c r="C974" s="23"/>
      <c r="D974" s="24"/>
      <c r="E974" s="24"/>
      <c r="F974" s="24"/>
      <c r="G974" s="24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7"/>
      <c r="AN974" s="25"/>
      <c r="AO974" s="25"/>
      <c r="AP974" s="28"/>
      <c r="AQ974" s="25"/>
      <c r="AR974" s="25"/>
      <c r="AS974" s="28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F974" s="25"/>
      <c r="BG974" s="25"/>
      <c r="BH974" s="25"/>
      <c r="BI974" s="25"/>
      <c r="BJ974" s="24"/>
      <c r="BK974" s="24"/>
      <c r="BL974" s="25"/>
      <c r="BM974" s="25"/>
      <c r="BN974" s="25"/>
    </row>
    <row r="975" spans="1:66" ht="13.5" customHeight="1" x14ac:dyDescent="0.2">
      <c r="A975" s="22"/>
      <c r="B975" s="23"/>
      <c r="C975" s="23"/>
      <c r="D975" s="24"/>
      <c r="E975" s="24"/>
      <c r="F975" s="24"/>
      <c r="G975" s="24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7"/>
      <c r="AN975" s="25"/>
      <c r="AO975" s="25"/>
      <c r="AP975" s="28"/>
      <c r="AQ975" s="25"/>
      <c r="AR975" s="25"/>
      <c r="AS975" s="28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F975" s="25"/>
      <c r="BG975" s="25"/>
      <c r="BH975" s="25"/>
      <c r="BI975" s="25"/>
      <c r="BJ975" s="24"/>
      <c r="BK975" s="24"/>
      <c r="BL975" s="25"/>
      <c r="BM975" s="25"/>
      <c r="BN975" s="25"/>
    </row>
    <row r="976" spans="1:66" ht="13.5" customHeight="1" x14ac:dyDescent="0.2">
      <c r="A976" s="22"/>
      <c r="B976" s="23"/>
      <c r="C976" s="23"/>
      <c r="D976" s="24"/>
      <c r="E976" s="24"/>
      <c r="F976" s="24"/>
      <c r="G976" s="24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7"/>
      <c r="AN976" s="25"/>
      <c r="AO976" s="25"/>
      <c r="AP976" s="28"/>
      <c r="AQ976" s="25"/>
      <c r="AR976" s="25"/>
      <c r="AS976" s="28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F976" s="25"/>
      <c r="BG976" s="25"/>
      <c r="BH976" s="25"/>
      <c r="BI976" s="25"/>
      <c r="BJ976" s="24"/>
      <c r="BK976" s="24"/>
      <c r="BL976" s="25"/>
      <c r="BM976" s="25"/>
      <c r="BN976" s="25"/>
    </row>
    <row r="977" spans="1:66" ht="13.5" customHeight="1" x14ac:dyDescent="0.2">
      <c r="A977" s="22"/>
      <c r="B977" s="23"/>
      <c r="C977" s="23"/>
      <c r="D977" s="24"/>
      <c r="E977" s="24"/>
      <c r="F977" s="24"/>
      <c r="G977" s="24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7"/>
      <c r="AN977" s="25"/>
      <c r="AO977" s="25"/>
      <c r="AP977" s="28"/>
      <c r="AQ977" s="25"/>
      <c r="AR977" s="25"/>
      <c r="AS977" s="28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F977" s="25"/>
      <c r="BG977" s="25"/>
      <c r="BH977" s="25"/>
      <c r="BI977" s="25"/>
      <c r="BJ977" s="24"/>
      <c r="BK977" s="24"/>
      <c r="BL977" s="25"/>
      <c r="BM977" s="25"/>
      <c r="BN977" s="25"/>
    </row>
    <row r="978" spans="1:66" ht="13.5" customHeight="1" x14ac:dyDescent="0.2">
      <c r="A978" s="22"/>
      <c r="B978" s="23"/>
      <c r="C978" s="23"/>
      <c r="D978" s="24"/>
      <c r="E978" s="24"/>
      <c r="F978" s="24"/>
      <c r="G978" s="24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7"/>
      <c r="AN978" s="25"/>
      <c r="AO978" s="25"/>
      <c r="AP978" s="28"/>
      <c r="AQ978" s="25"/>
      <c r="AR978" s="25"/>
      <c r="AS978" s="28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F978" s="25"/>
      <c r="BG978" s="25"/>
      <c r="BH978" s="25"/>
      <c r="BI978" s="25"/>
      <c r="BJ978" s="24"/>
      <c r="BK978" s="24"/>
      <c r="BL978" s="25"/>
      <c r="BM978" s="25"/>
      <c r="BN978" s="25"/>
    </row>
    <row r="979" spans="1:66" ht="13.5" customHeight="1" x14ac:dyDescent="0.2">
      <c r="A979" s="22"/>
      <c r="B979" s="23"/>
      <c r="C979" s="23"/>
      <c r="D979" s="24"/>
      <c r="E979" s="24"/>
      <c r="F979" s="24"/>
      <c r="G979" s="24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7"/>
      <c r="AN979" s="25"/>
      <c r="AO979" s="25"/>
      <c r="AP979" s="28"/>
      <c r="AQ979" s="25"/>
      <c r="AR979" s="25"/>
      <c r="AS979" s="28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F979" s="25"/>
      <c r="BG979" s="25"/>
      <c r="BH979" s="25"/>
      <c r="BI979" s="25"/>
      <c r="BJ979" s="24"/>
      <c r="BK979" s="24"/>
      <c r="BL979" s="25"/>
      <c r="BM979" s="25"/>
      <c r="BN979" s="25"/>
    </row>
    <row r="980" spans="1:66" ht="13.5" customHeight="1" x14ac:dyDescent="0.2">
      <c r="A980" s="22"/>
      <c r="B980" s="23"/>
      <c r="C980" s="23"/>
      <c r="D980" s="24"/>
      <c r="E980" s="24"/>
      <c r="F980" s="24"/>
      <c r="G980" s="24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7"/>
      <c r="AN980" s="25"/>
      <c r="AO980" s="25"/>
      <c r="AP980" s="28"/>
      <c r="AQ980" s="25"/>
      <c r="AR980" s="25"/>
      <c r="AS980" s="28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F980" s="25"/>
      <c r="BG980" s="25"/>
      <c r="BH980" s="25"/>
      <c r="BI980" s="25"/>
      <c r="BJ980" s="24"/>
      <c r="BK980" s="24"/>
      <c r="BL980" s="25"/>
      <c r="BM980" s="25"/>
      <c r="BN980" s="25"/>
    </row>
    <row r="981" spans="1:66" ht="13.5" customHeight="1" x14ac:dyDescent="0.2">
      <c r="A981" s="22"/>
      <c r="B981" s="23"/>
      <c r="C981" s="23"/>
      <c r="D981" s="24"/>
      <c r="E981" s="24"/>
      <c r="F981" s="24"/>
      <c r="G981" s="24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7"/>
      <c r="AN981" s="25"/>
      <c r="AO981" s="25"/>
      <c r="AP981" s="28"/>
      <c r="AQ981" s="25"/>
      <c r="AR981" s="25"/>
      <c r="AS981" s="28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F981" s="25"/>
      <c r="BG981" s="25"/>
      <c r="BH981" s="25"/>
      <c r="BI981" s="25"/>
      <c r="BJ981" s="24"/>
      <c r="BK981" s="24"/>
      <c r="BL981" s="25"/>
      <c r="BM981" s="25"/>
      <c r="BN981" s="25"/>
    </row>
    <row r="982" spans="1:66" ht="13.5" customHeight="1" x14ac:dyDescent="0.2">
      <c r="A982" s="22"/>
      <c r="B982" s="23"/>
      <c r="C982" s="23"/>
      <c r="D982" s="24"/>
      <c r="E982" s="24"/>
      <c r="F982" s="24"/>
      <c r="G982" s="24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7"/>
      <c r="AN982" s="25"/>
      <c r="AO982" s="25"/>
      <c r="AP982" s="28"/>
      <c r="AQ982" s="25"/>
      <c r="AR982" s="25"/>
      <c r="AS982" s="28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F982" s="25"/>
      <c r="BG982" s="25"/>
      <c r="BH982" s="25"/>
      <c r="BI982" s="25"/>
      <c r="BJ982" s="24"/>
      <c r="BK982" s="24"/>
      <c r="BL982" s="25"/>
      <c r="BM982" s="25"/>
      <c r="BN982" s="25"/>
    </row>
    <row r="983" spans="1:66" ht="13.5" customHeight="1" x14ac:dyDescent="0.2">
      <c r="A983" s="22"/>
      <c r="B983" s="23"/>
      <c r="C983" s="23"/>
      <c r="D983" s="24"/>
      <c r="E983" s="24"/>
      <c r="F983" s="24"/>
      <c r="G983" s="24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7"/>
      <c r="AN983" s="25"/>
      <c r="AO983" s="25"/>
      <c r="AP983" s="28"/>
      <c r="AQ983" s="25"/>
      <c r="AR983" s="25"/>
      <c r="AS983" s="28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F983" s="25"/>
      <c r="BG983" s="25"/>
      <c r="BH983" s="25"/>
      <c r="BI983" s="25"/>
      <c r="BJ983" s="24"/>
      <c r="BK983" s="24"/>
      <c r="BL983" s="25"/>
      <c r="BM983" s="25"/>
      <c r="BN983" s="25"/>
    </row>
    <row r="984" spans="1:66" ht="13.5" customHeight="1" x14ac:dyDescent="0.2">
      <c r="A984" s="22"/>
      <c r="B984" s="23"/>
      <c r="C984" s="23"/>
      <c r="D984" s="24"/>
      <c r="E984" s="24"/>
      <c r="F984" s="24"/>
      <c r="G984" s="24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7"/>
      <c r="AN984" s="25"/>
      <c r="AO984" s="25"/>
      <c r="AP984" s="28"/>
      <c r="AQ984" s="25"/>
      <c r="AR984" s="25"/>
      <c r="AS984" s="28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F984" s="25"/>
      <c r="BG984" s="25"/>
      <c r="BH984" s="25"/>
      <c r="BI984" s="25"/>
      <c r="BJ984" s="24"/>
      <c r="BK984" s="24"/>
      <c r="BL984" s="25"/>
      <c r="BM984" s="25"/>
      <c r="BN984" s="25"/>
    </row>
    <row r="985" spans="1:66" ht="13.5" customHeight="1" x14ac:dyDescent="0.2">
      <c r="A985" s="22"/>
      <c r="B985" s="23"/>
      <c r="C985" s="23"/>
      <c r="D985" s="24"/>
      <c r="E985" s="24"/>
      <c r="F985" s="24"/>
      <c r="G985" s="24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7"/>
      <c r="AN985" s="25"/>
      <c r="AO985" s="25"/>
      <c r="AP985" s="28"/>
      <c r="AQ985" s="25"/>
      <c r="AR985" s="25"/>
      <c r="AS985" s="28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F985" s="25"/>
      <c r="BG985" s="25"/>
      <c r="BH985" s="25"/>
      <c r="BI985" s="25"/>
      <c r="BJ985" s="24"/>
      <c r="BK985" s="24"/>
      <c r="BL985" s="25"/>
      <c r="BM985" s="25"/>
      <c r="BN985" s="25"/>
    </row>
    <row r="986" spans="1:66" ht="13.5" customHeight="1" x14ac:dyDescent="0.2">
      <c r="A986" s="22"/>
      <c r="B986" s="23"/>
      <c r="C986" s="23"/>
      <c r="D986" s="24"/>
      <c r="E986" s="24"/>
      <c r="F986" s="24"/>
      <c r="G986" s="24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7"/>
      <c r="AN986" s="25"/>
      <c r="AO986" s="25"/>
      <c r="AP986" s="28"/>
      <c r="AQ986" s="25"/>
      <c r="AR986" s="25"/>
      <c r="AS986" s="28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F986" s="25"/>
      <c r="BG986" s="25"/>
      <c r="BH986" s="25"/>
      <c r="BI986" s="25"/>
      <c r="BJ986" s="24"/>
      <c r="BK986" s="24"/>
      <c r="BL986" s="25"/>
      <c r="BM986" s="25"/>
      <c r="BN986" s="25"/>
    </row>
    <row r="987" spans="1:66" ht="13.5" customHeight="1" x14ac:dyDescent="0.2">
      <c r="A987" s="22"/>
      <c r="B987" s="23"/>
      <c r="C987" s="23"/>
      <c r="D987" s="24"/>
      <c r="E987" s="24"/>
      <c r="F987" s="24"/>
      <c r="G987" s="24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7"/>
      <c r="AN987" s="25"/>
      <c r="AO987" s="25"/>
      <c r="AP987" s="28"/>
      <c r="AQ987" s="25"/>
      <c r="AR987" s="25"/>
      <c r="AS987" s="28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F987" s="25"/>
      <c r="BG987" s="25"/>
      <c r="BH987" s="25"/>
      <c r="BI987" s="25"/>
      <c r="BJ987" s="24"/>
      <c r="BK987" s="24"/>
      <c r="BL987" s="25"/>
      <c r="BM987" s="25"/>
      <c r="BN987" s="25"/>
    </row>
    <row r="988" spans="1:66" ht="13.5" customHeight="1" x14ac:dyDescent="0.2">
      <c r="A988" s="22"/>
      <c r="B988" s="23"/>
      <c r="C988" s="23"/>
      <c r="D988" s="24"/>
      <c r="E988" s="24"/>
      <c r="F988" s="24"/>
      <c r="G988" s="24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7"/>
      <c r="AN988" s="25"/>
      <c r="AO988" s="25"/>
      <c r="AP988" s="28"/>
      <c r="AQ988" s="25"/>
      <c r="AR988" s="25"/>
      <c r="AS988" s="28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F988" s="25"/>
      <c r="BG988" s="25"/>
      <c r="BH988" s="25"/>
      <c r="BI988" s="25"/>
      <c r="BJ988" s="24"/>
      <c r="BK988" s="24"/>
      <c r="BL988" s="25"/>
      <c r="BM988" s="25"/>
      <c r="BN988" s="25"/>
    </row>
    <row r="989" spans="1:66" ht="13.5" customHeight="1" x14ac:dyDescent="0.2">
      <c r="A989" s="22"/>
      <c r="B989" s="23"/>
      <c r="C989" s="23"/>
      <c r="D989" s="24"/>
      <c r="E989" s="24"/>
      <c r="F989" s="24"/>
      <c r="G989" s="24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7"/>
      <c r="AN989" s="25"/>
      <c r="AO989" s="25"/>
      <c r="AP989" s="28"/>
      <c r="AQ989" s="25"/>
      <c r="AR989" s="25"/>
      <c r="AS989" s="28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F989" s="25"/>
      <c r="BG989" s="25"/>
      <c r="BH989" s="25"/>
      <c r="BI989" s="25"/>
      <c r="BJ989" s="24"/>
      <c r="BK989" s="24"/>
      <c r="BL989" s="25"/>
      <c r="BM989" s="25"/>
      <c r="BN989" s="25"/>
    </row>
    <row r="990" spans="1:66" ht="13.5" customHeight="1" x14ac:dyDescent="0.2">
      <c r="A990" s="22"/>
      <c r="B990" s="23"/>
      <c r="C990" s="23"/>
      <c r="D990" s="24"/>
      <c r="E990" s="24"/>
      <c r="F990" s="24"/>
      <c r="G990" s="24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7"/>
      <c r="AN990" s="25"/>
      <c r="AO990" s="25"/>
      <c r="AP990" s="28"/>
      <c r="AQ990" s="25"/>
      <c r="AR990" s="25"/>
      <c r="AS990" s="28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F990" s="25"/>
      <c r="BG990" s="25"/>
      <c r="BH990" s="25"/>
      <c r="BI990" s="25"/>
      <c r="BJ990" s="24"/>
      <c r="BK990" s="24"/>
      <c r="BL990" s="25"/>
      <c r="BM990" s="25"/>
      <c r="BN990" s="25"/>
    </row>
    <row r="991" spans="1:66" ht="13.5" customHeight="1" x14ac:dyDescent="0.2">
      <c r="A991" s="22"/>
      <c r="B991" s="23"/>
      <c r="C991" s="23"/>
      <c r="D991" s="24"/>
      <c r="E991" s="24"/>
      <c r="F991" s="24"/>
      <c r="G991" s="24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7"/>
      <c r="AN991" s="25"/>
      <c r="AO991" s="25"/>
      <c r="AP991" s="28"/>
      <c r="AQ991" s="25"/>
      <c r="AR991" s="25"/>
      <c r="AS991" s="28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F991" s="25"/>
      <c r="BG991" s="25"/>
      <c r="BH991" s="25"/>
      <c r="BI991" s="25"/>
      <c r="BJ991" s="24"/>
      <c r="BK991" s="24"/>
      <c r="BL991" s="25"/>
      <c r="BM991" s="25"/>
      <c r="BN991" s="25"/>
    </row>
    <row r="992" spans="1:66" ht="13.5" customHeight="1" x14ac:dyDescent="0.2">
      <c r="A992" s="22"/>
      <c r="B992" s="23"/>
      <c r="C992" s="23"/>
      <c r="D992" s="24"/>
      <c r="E992" s="24"/>
      <c r="F992" s="24"/>
      <c r="G992" s="24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7"/>
      <c r="AN992" s="25"/>
      <c r="AO992" s="25"/>
      <c r="AP992" s="28"/>
      <c r="AQ992" s="25"/>
      <c r="AR992" s="25"/>
      <c r="AS992" s="28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F992" s="25"/>
      <c r="BG992" s="25"/>
      <c r="BH992" s="25"/>
      <c r="BI992" s="25"/>
      <c r="BJ992" s="24"/>
      <c r="BK992" s="24"/>
      <c r="BL992" s="25"/>
      <c r="BM992" s="25"/>
      <c r="BN992" s="25"/>
    </row>
    <row r="993" spans="1:66" ht="13.5" customHeight="1" x14ac:dyDescent="0.2">
      <c r="A993" s="22"/>
      <c r="B993" s="23"/>
      <c r="C993" s="23"/>
      <c r="D993" s="24"/>
      <c r="E993" s="24"/>
      <c r="F993" s="24"/>
      <c r="G993" s="24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7"/>
      <c r="AN993" s="25"/>
      <c r="AO993" s="25"/>
      <c r="AP993" s="28"/>
      <c r="AQ993" s="25"/>
      <c r="AR993" s="25"/>
      <c r="AS993" s="28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F993" s="25"/>
      <c r="BG993" s="25"/>
      <c r="BH993" s="25"/>
      <c r="BI993" s="25"/>
      <c r="BJ993" s="24"/>
      <c r="BK993" s="24"/>
      <c r="BL993" s="25"/>
      <c r="BM993" s="25"/>
      <c r="BN993" s="25"/>
    </row>
    <row r="994" spans="1:66" ht="13.5" customHeight="1" x14ac:dyDescent="0.2">
      <c r="A994" s="22"/>
      <c r="B994" s="23"/>
      <c r="C994" s="23"/>
      <c r="D994" s="24"/>
      <c r="E994" s="24"/>
      <c r="F994" s="24"/>
      <c r="G994" s="24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7"/>
      <c r="AN994" s="25"/>
      <c r="AO994" s="25"/>
      <c r="AP994" s="28"/>
      <c r="AQ994" s="25"/>
      <c r="AR994" s="25"/>
      <c r="AS994" s="28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F994" s="25"/>
      <c r="BG994" s="25"/>
      <c r="BH994" s="25"/>
      <c r="BI994" s="25"/>
      <c r="BJ994" s="24"/>
      <c r="BK994" s="24"/>
      <c r="BL994" s="25"/>
      <c r="BM994" s="25"/>
      <c r="BN994" s="25"/>
    </row>
    <row r="995" spans="1:66" ht="13.5" customHeight="1" x14ac:dyDescent="0.2">
      <c r="A995" s="22"/>
      <c r="B995" s="23"/>
      <c r="C995" s="23"/>
      <c r="D995" s="24"/>
      <c r="E995" s="24"/>
      <c r="F995" s="24"/>
      <c r="G995" s="24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7"/>
      <c r="AN995" s="25"/>
      <c r="AO995" s="25"/>
      <c r="AP995" s="28"/>
      <c r="AQ995" s="25"/>
      <c r="AR995" s="25"/>
      <c r="AS995" s="28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F995" s="25"/>
      <c r="BG995" s="25"/>
      <c r="BH995" s="25"/>
      <c r="BI995" s="25"/>
      <c r="BJ995" s="24"/>
      <c r="BK995" s="24"/>
      <c r="BL995" s="25"/>
      <c r="BM995" s="25"/>
      <c r="BN995" s="25"/>
    </row>
    <row r="996" spans="1:66" ht="13.5" customHeight="1" x14ac:dyDescent="0.2">
      <c r="A996" s="22"/>
      <c r="B996" s="23"/>
      <c r="C996" s="23"/>
      <c r="D996" s="24"/>
      <c r="E996" s="24"/>
      <c r="F996" s="24"/>
      <c r="G996" s="24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7"/>
      <c r="AN996" s="25"/>
      <c r="AO996" s="25"/>
      <c r="AP996" s="28"/>
      <c r="AQ996" s="25"/>
      <c r="AR996" s="25"/>
      <c r="AS996" s="28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F996" s="25"/>
      <c r="BG996" s="25"/>
      <c r="BH996" s="25"/>
      <c r="BI996" s="25"/>
      <c r="BJ996" s="24"/>
      <c r="BK996" s="24"/>
      <c r="BL996" s="25"/>
      <c r="BM996" s="25"/>
      <c r="BN996" s="25"/>
    </row>
    <row r="997" spans="1:66" ht="13.5" customHeight="1" x14ac:dyDescent="0.2">
      <c r="A997" s="22"/>
      <c r="B997" s="23"/>
      <c r="C997" s="23"/>
      <c r="D997" s="24"/>
      <c r="E997" s="24"/>
      <c r="F997" s="24"/>
      <c r="G997" s="24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7"/>
      <c r="AN997" s="25"/>
      <c r="AO997" s="25"/>
      <c r="AP997" s="28"/>
      <c r="AQ997" s="25"/>
      <c r="AR997" s="25"/>
      <c r="AS997" s="28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F997" s="25"/>
      <c r="BG997" s="25"/>
      <c r="BH997" s="25"/>
      <c r="BI997" s="25"/>
      <c r="BJ997" s="24"/>
      <c r="BK997" s="24"/>
      <c r="BL997" s="25"/>
      <c r="BM997" s="25"/>
      <c r="BN997" s="25"/>
    </row>
  </sheetData>
  <conditionalFormatting sqref="AP1:AP997 AS1:AS997">
    <cfRule type="cellIs" dxfId="3" priority="1" operator="lessThanOrEqual">
      <formula>0.5</formula>
    </cfRule>
  </conditionalFormatting>
  <conditionalFormatting sqref="AY1:AY997 BH1:BI997">
    <cfRule type="notContainsBlanks" dxfId="2" priority="4">
      <formula>LEN(TRIM(AY1))&gt;0</formula>
    </cfRule>
    <cfRule type="cellIs" dxfId="1" priority="5" operator="lessThanOrEqual">
      <formula>20</formula>
    </cfRule>
  </conditionalFormatting>
  <conditionalFormatting sqref="AY1:AZ997">
    <cfRule type="cellIs" dxfId="0" priority="3" operator="lessThanOrEqual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4C6C-6A77-124A-A154-C8DBB5A9CD5C}">
  <dimension ref="A1:BM98"/>
  <sheetViews>
    <sheetView topLeftCell="BF1" workbookViewId="0">
      <selection activeCell="D13" sqref="D13"/>
    </sheetView>
  </sheetViews>
  <sheetFormatPr baseColWidth="10" defaultRowHeight="16" x14ac:dyDescent="0.2"/>
  <cols>
    <col min="1" max="1" width="9.83203125" bestFit="1" customWidth="1"/>
    <col min="2" max="2" width="12.33203125" customWidth="1"/>
    <col min="6" max="6" width="12.33203125" customWidth="1"/>
    <col min="7" max="25" width="11" customWidth="1"/>
    <col min="27" max="32" width="11" customWidth="1"/>
    <col min="34" max="55" width="11" customWidth="1"/>
    <col min="58" max="63" width="11" customWidth="1"/>
    <col min="64" max="65" width="11" bestFit="1" customWidth="1"/>
  </cols>
  <sheetData>
    <row r="1" spans="1:65" s="46" customFormat="1" ht="96" x14ac:dyDescent="0.2">
      <c r="A1" s="39" t="s">
        <v>1</v>
      </c>
      <c r="B1" s="39" t="s">
        <v>2</v>
      </c>
      <c r="C1" s="39" t="s">
        <v>3</v>
      </c>
      <c r="D1" s="39" t="s">
        <v>4</v>
      </c>
      <c r="E1" s="39" t="s">
        <v>5</v>
      </c>
      <c r="F1" s="39" t="s">
        <v>6</v>
      </c>
      <c r="G1" s="39" t="s">
        <v>7</v>
      </c>
      <c r="H1" s="39" t="s">
        <v>8</v>
      </c>
      <c r="I1" s="39" t="s">
        <v>9</v>
      </c>
      <c r="J1" s="39" t="s">
        <v>10</v>
      </c>
      <c r="K1" s="39" t="s">
        <v>11</v>
      </c>
      <c r="L1" s="39" t="s">
        <v>12</v>
      </c>
      <c r="M1" s="39" t="s">
        <v>13</v>
      </c>
      <c r="N1" s="39" t="s">
        <v>14</v>
      </c>
      <c r="O1" s="40" t="s">
        <v>15</v>
      </c>
      <c r="P1" s="40" t="s">
        <v>16</v>
      </c>
      <c r="Q1" s="39" t="s">
        <v>17</v>
      </c>
      <c r="R1" s="39" t="s">
        <v>18</v>
      </c>
      <c r="S1" s="39" t="s">
        <v>19</v>
      </c>
      <c r="T1" s="39" t="s">
        <v>20</v>
      </c>
      <c r="U1" s="39" t="s">
        <v>21</v>
      </c>
      <c r="V1" s="39" t="s">
        <v>22</v>
      </c>
      <c r="W1" s="40" t="s">
        <v>23</v>
      </c>
      <c r="X1" s="40" t="s">
        <v>24</v>
      </c>
      <c r="Y1" s="39" t="s">
        <v>25</v>
      </c>
      <c r="Z1" s="39" t="s">
        <v>26</v>
      </c>
      <c r="AA1" s="39" t="s">
        <v>27</v>
      </c>
      <c r="AB1" s="39" t="s">
        <v>28</v>
      </c>
      <c r="AC1" s="39" t="s">
        <v>29</v>
      </c>
      <c r="AD1" s="39" t="s">
        <v>30</v>
      </c>
      <c r="AE1" s="39" t="s">
        <v>31</v>
      </c>
      <c r="AF1" s="41" t="s">
        <v>32</v>
      </c>
      <c r="AG1" s="41" t="s">
        <v>33</v>
      </c>
      <c r="AH1" s="41" t="s">
        <v>34</v>
      </c>
      <c r="AI1" s="39" t="s">
        <v>35</v>
      </c>
      <c r="AJ1" s="39" t="s">
        <v>36</v>
      </c>
      <c r="AK1" s="39" t="s">
        <v>37</v>
      </c>
      <c r="AL1" s="39" t="s">
        <v>38</v>
      </c>
      <c r="AM1" s="40" t="s">
        <v>39</v>
      </c>
      <c r="AN1" s="40" t="s">
        <v>40</v>
      </c>
      <c r="AO1" s="40" t="s">
        <v>41</v>
      </c>
      <c r="AP1" s="40" t="s">
        <v>42</v>
      </c>
      <c r="AQ1" s="40" t="s">
        <v>43</v>
      </c>
      <c r="AR1" s="40" t="s">
        <v>44</v>
      </c>
      <c r="AS1" s="40" t="s">
        <v>45</v>
      </c>
      <c r="AT1" s="40" t="s">
        <v>46</v>
      </c>
      <c r="AU1" s="40" t="s">
        <v>47</v>
      </c>
      <c r="AV1" s="42" t="s">
        <v>48</v>
      </c>
      <c r="AW1" s="42" t="s">
        <v>49</v>
      </c>
      <c r="AX1" s="42" t="s">
        <v>51</v>
      </c>
      <c r="AY1" s="43" t="s">
        <v>340</v>
      </c>
      <c r="AZ1" s="43" t="s">
        <v>341</v>
      </c>
      <c r="BA1" s="43" t="s">
        <v>52</v>
      </c>
      <c r="BB1" s="43" t="s">
        <v>53</v>
      </c>
      <c r="BC1" s="43" t="s">
        <v>54</v>
      </c>
      <c r="BD1" s="44" t="s">
        <v>55</v>
      </c>
      <c r="BE1" s="44" t="s">
        <v>56</v>
      </c>
      <c r="BF1" s="45" t="s">
        <v>57</v>
      </c>
      <c r="BG1" s="45" t="s">
        <v>58</v>
      </c>
      <c r="BH1" s="45" t="s">
        <v>59</v>
      </c>
      <c r="BI1" s="38" t="s">
        <v>60</v>
      </c>
      <c r="BJ1" s="38" t="s">
        <v>61</v>
      </c>
      <c r="BK1" s="38" t="s">
        <v>62</v>
      </c>
      <c r="BL1" s="38" t="s">
        <v>63</v>
      </c>
      <c r="BM1" s="40" t="s">
        <v>64</v>
      </c>
    </row>
    <row r="2" spans="1:65" s="52" customFormat="1" x14ac:dyDescent="0.2">
      <c r="A2" s="50" t="s">
        <v>462</v>
      </c>
      <c r="B2" s="49"/>
      <c r="C2" s="49"/>
      <c r="D2" s="49"/>
      <c r="E2" s="49"/>
      <c r="F2" s="49"/>
      <c r="G2" s="49"/>
      <c r="H2" s="50">
        <v>2.3333333330000001E-2</v>
      </c>
      <c r="I2" s="49"/>
      <c r="J2" s="50">
        <v>2.6666666669999999E-2</v>
      </c>
      <c r="K2" s="49"/>
      <c r="L2" s="50">
        <v>2.8480012480000001E-2</v>
      </c>
      <c r="M2" s="49"/>
      <c r="N2" s="50">
        <v>3.1466031069999997E-2</v>
      </c>
      <c r="O2" s="49"/>
      <c r="P2" s="50">
        <v>9.5043849529999995E-3</v>
      </c>
      <c r="Q2" s="49"/>
      <c r="R2" s="50">
        <v>8.451232652E-2</v>
      </c>
      <c r="S2" s="49"/>
      <c r="T2" s="50">
        <v>3.6121707849999997E-2</v>
      </c>
      <c r="U2" s="49"/>
      <c r="V2" s="50">
        <v>4.7852804280000001</v>
      </c>
      <c r="W2" s="49"/>
      <c r="X2" s="50">
        <v>4.6248122599999997</v>
      </c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50">
        <v>-8.9600000000000009</v>
      </c>
      <c r="AO2" s="50">
        <v>0.04</v>
      </c>
      <c r="AP2" s="49"/>
      <c r="AQ2" s="50">
        <v>-0.5</v>
      </c>
      <c r="AR2" s="50">
        <v>4.3588989440000003E-2</v>
      </c>
      <c r="AS2" s="49"/>
      <c r="AT2" s="50">
        <v>30.403333329999999</v>
      </c>
      <c r="AU2" s="50">
        <v>4.6188021539999999E-2</v>
      </c>
      <c r="AV2" s="49"/>
      <c r="AW2" s="50">
        <v>0.58433333330000004</v>
      </c>
      <c r="AX2" s="50">
        <v>8.6858761469999993E-3</v>
      </c>
      <c r="AY2" s="51">
        <v>1.5044378799999999E-2</v>
      </c>
      <c r="AZ2" s="51">
        <v>2.9336538650000001E-2</v>
      </c>
      <c r="BA2" s="49"/>
      <c r="BB2" s="50">
        <v>0.22900000000000001</v>
      </c>
      <c r="BC2" s="50">
        <v>4.4557079499999999E-2</v>
      </c>
      <c r="BD2" s="49"/>
      <c r="BE2" s="49"/>
      <c r="BF2" s="49"/>
      <c r="BG2" s="50">
        <v>28.373295500000001</v>
      </c>
      <c r="BH2" s="50">
        <v>3.0895809889999999</v>
      </c>
      <c r="BI2" s="49"/>
      <c r="BJ2" s="50">
        <v>1.0285721649999999</v>
      </c>
      <c r="BK2" s="49"/>
      <c r="BL2" s="50">
        <f>AVERAGE(BK3:BK5)</f>
        <v>1.7810401250000003</v>
      </c>
      <c r="BM2" s="50">
        <f>STDEV(BK3:BK5)</f>
        <v>1.0649541514543479</v>
      </c>
    </row>
    <row r="3" spans="1:65" x14ac:dyDescent="0.2">
      <c r="A3" s="47" t="s">
        <v>67</v>
      </c>
      <c r="B3" s="53">
        <v>43411.031944444447</v>
      </c>
      <c r="C3" s="47" t="s">
        <v>69</v>
      </c>
      <c r="D3" s="47" t="s">
        <v>462</v>
      </c>
      <c r="E3" s="47" t="s">
        <v>70</v>
      </c>
      <c r="F3" s="53">
        <v>43410.25</v>
      </c>
      <c r="G3" s="47">
        <v>-9.19</v>
      </c>
      <c r="H3" s="47">
        <v>0</v>
      </c>
      <c r="I3" s="47">
        <v>7.52</v>
      </c>
      <c r="J3" s="47">
        <v>0</v>
      </c>
      <c r="K3" s="47">
        <v>38.67</v>
      </c>
      <c r="L3" s="47">
        <v>0</v>
      </c>
      <c r="M3" s="47">
        <v>7.7519999999999998</v>
      </c>
      <c r="N3" s="47">
        <v>1.6E-2</v>
      </c>
      <c r="O3" s="47">
        <v>-0.40500000000000003</v>
      </c>
      <c r="P3" s="47">
        <v>1.4E-2</v>
      </c>
      <c r="Q3" s="47">
        <v>26.108000000000001</v>
      </c>
      <c r="R3" s="47">
        <v>0.05</v>
      </c>
      <c r="S3" s="47">
        <v>-0.71599999999999997</v>
      </c>
      <c r="T3" s="47">
        <v>0.05</v>
      </c>
      <c r="U3" s="47">
        <v>-31.404</v>
      </c>
      <c r="V3" s="47">
        <v>2.323</v>
      </c>
      <c r="W3" s="47">
        <v>-51.503</v>
      </c>
      <c r="X3" s="47">
        <v>2.2709999999999999</v>
      </c>
      <c r="Y3" s="47">
        <v>-9.6424924739999997E-3</v>
      </c>
      <c r="Z3" s="47" t="s">
        <v>463</v>
      </c>
      <c r="AA3" s="47">
        <v>-0.33100000000000002</v>
      </c>
      <c r="AB3" s="47">
        <v>1.013436472</v>
      </c>
      <c r="AC3" s="47">
        <v>0.92727682150000001</v>
      </c>
      <c r="AD3" s="47">
        <v>0.59199999999999997</v>
      </c>
      <c r="AE3" s="47">
        <v>0</v>
      </c>
      <c r="AF3" s="47">
        <v>-2.35846945E-2</v>
      </c>
      <c r="AG3" s="47" t="s">
        <v>464</v>
      </c>
      <c r="AH3" s="47">
        <v>-0.1</v>
      </c>
      <c r="AI3" s="47">
        <v>0.91027428440000002</v>
      </c>
      <c r="AJ3" s="47">
        <v>0.32580981380000001</v>
      </c>
      <c r="AK3" s="47">
        <v>0.23499999999999999</v>
      </c>
      <c r="AL3" s="47">
        <v>0</v>
      </c>
      <c r="AM3" s="47">
        <v>-8.9600000000000009</v>
      </c>
      <c r="AN3" s="47"/>
      <c r="AO3" s="47"/>
      <c r="AP3" s="47">
        <v>-0.55000000000000004</v>
      </c>
      <c r="AQ3" s="47"/>
      <c r="AR3" s="47"/>
      <c r="AS3" s="47">
        <v>30.35</v>
      </c>
      <c r="AT3" s="47"/>
      <c r="AU3" s="47"/>
      <c r="AV3" s="47">
        <v>0.59199999999999997</v>
      </c>
      <c r="AW3" s="47"/>
      <c r="AX3" s="47"/>
      <c r="AY3" s="47"/>
      <c r="AZ3" s="47"/>
      <c r="BA3" s="47">
        <v>0.23499999999999999</v>
      </c>
      <c r="BB3" s="47"/>
      <c r="BC3" s="47"/>
      <c r="BD3" s="47"/>
      <c r="BE3" s="47"/>
      <c r="BF3" s="47">
        <v>25.629862760000002</v>
      </c>
      <c r="BG3" s="47"/>
      <c r="BH3" s="47"/>
      <c r="BI3" s="47">
        <v>1.0291193030000001</v>
      </c>
      <c r="BJ3" s="47"/>
      <c r="BK3" s="47">
        <v>1.195874337</v>
      </c>
      <c r="BL3" s="47"/>
      <c r="BM3" s="47"/>
    </row>
    <row r="4" spans="1:65" x14ac:dyDescent="0.2">
      <c r="A4" s="47" t="s">
        <v>81</v>
      </c>
      <c r="B4" s="53">
        <v>43411.746527777781</v>
      </c>
      <c r="C4" s="47" t="s">
        <v>69</v>
      </c>
      <c r="D4" s="47" t="s">
        <v>462</v>
      </c>
      <c r="E4" s="47" t="s">
        <v>70</v>
      </c>
      <c r="F4" s="53">
        <v>43410.25</v>
      </c>
      <c r="G4" s="47">
        <v>-9.14</v>
      </c>
      <c r="H4" s="47">
        <v>0</v>
      </c>
      <c r="I4" s="47">
        <v>7.6</v>
      </c>
      <c r="J4" s="47">
        <v>0</v>
      </c>
      <c r="K4" s="47">
        <v>38.76</v>
      </c>
      <c r="L4" s="47">
        <v>0</v>
      </c>
      <c r="M4" s="47">
        <v>7.8609999999999998</v>
      </c>
      <c r="N4" s="47">
        <v>1.6E-2</v>
      </c>
      <c r="O4" s="47">
        <v>-0.434</v>
      </c>
      <c r="P4" s="47">
        <v>1.4999999999999999E-2</v>
      </c>
      <c r="Q4" s="47">
        <v>26.396999999999998</v>
      </c>
      <c r="R4" s="47">
        <v>6.8000000000000005E-2</v>
      </c>
      <c r="S4" s="47">
        <v>-0.59699999999999998</v>
      </c>
      <c r="T4" s="47">
        <v>6.4000000000000001E-2</v>
      </c>
      <c r="U4" s="47">
        <v>-15.148999999999999</v>
      </c>
      <c r="V4" s="47">
        <v>3.1469999999999998</v>
      </c>
      <c r="W4" s="47">
        <v>-35.796999999999997</v>
      </c>
      <c r="X4" s="47">
        <v>3.081</v>
      </c>
      <c r="Y4" s="47">
        <v>-9.7107649380000008E-3</v>
      </c>
      <c r="Z4" s="47" t="s">
        <v>465</v>
      </c>
      <c r="AA4" s="47">
        <v>-0.35699999999999998</v>
      </c>
      <c r="AB4" s="47">
        <v>1.019137111</v>
      </c>
      <c r="AC4" s="47">
        <v>0.93108196480000005</v>
      </c>
      <c r="AD4" s="47">
        <v>0.56699999999999995</v>
      </c>
      <c r="AE4" s="47">
        <v>0</v>
      </c>
      <c r="AF4" s="47">
        <v>-2.1677035609999999E-2</v>
      </c>
      <c r="AG4" s="47" t="s">
        <v>466</v>
      </c>
      <c r="AH4" s="47">
        <v>-2.5000000000000001E-2</v>
      </c>
      <c r="AI4" s="47">
        <v>0.91027428440000002</v>
      </c>
      <c r="AJ4" s="47">
        <v>0.32580981380000001</v>
      </c>
      <c r="AK4" s="47">
        <v>0.30299999999999999</v>
      </c>
      <c r="AL4" s="47">
        <v>0</v>
      </c>
      <c r="AM4" s="47">
        <v>-8.92</v>
      </c>
      <c r="AN4" s="47"/>
      <c r="AO4" s="47"/>
      <c r="AP4" s="47">
        <v>-0.47</v>
      </c>
      <c r="AQ4" s="47"/>
      <c r="AR4" s="47"/>
      <c r="AS4" s="47">
        <v>30.43</v>
      </c>
      <c r="AT4" s="47"/>
      <c r="AU4" s="47"/>
      <c r="AV4" s="47">
        <v>0.56699999999999995</v>
      </c>
      <c r="AW4" s="47"/>
      <c r="AX4" s="47"/>
      <c r="AY4" s="47"/>
      <c r="AZ4" s="47"/>
      <c r="BA4" s="47">
        <v>0.30299999999999999</v>
      </c>
      <c r="BB4" s="47"/>
      <c r="BC4" s="47"/>
      <c r="BD4" s="47"/>
      <c r="BE4" s="47"/>
      <c r="BF4" s="47">
        <v>34.539979500000001</v>
      </c>
      <c r="BG4" s="47"/>
      <c r="BH4" s="47"/>
      <c r="BI4" s="47">
        <v>1.0273374340000001</v>
      </c>
      <c r="BJ4" s="47"/>
      <c r="BK4" s="47">
        <v>3.0102729510000001</v>
      </c>
      <c r="BL4" s="47"/>
      <c r="BM4" s="47"/>
    </row>
    <row r="5" spans="1:65" x14ac:dyDescent="0.2">
      <c r="A5" s="47" t="s">
        <v>89</v>
      </c>
      <c r="B5" s="53">
        <v>43412.722916666666</v>
      </c>
      <c r="C5" s="47" t="s">
        <v>69</v>
      </c>
      <c r="D5" s="47" t="s">
        <v>462</v>
      </c>
      <c r="E5" s="47" t="s">
        <v>70</v>
      </c>
      <c r="F5" s="53">
        <v>43410.25</v>
      </c>
      <c r="G5" s="47">
        <v>-9.2200000000000006</v>
      </c>
      <c r="H5" s="47">
        <v>0</v>
      </c>
      <c r="I5" s="47">
        <v>7.6</v>
      </c>
      <c r="J5" s="47">
        <v>0</v>
      </c>
      <c r="K5" s="47">
        <v>38.75</v>
      </c>
      <c r="L5" s="47">
        <v>0</v>
      </c>
      <c r="M5" s="47">
        <v>7.8070000000000004</v>
      </c>
      <c r="N5" s="47">
        <v>1.2999999999999999E-2</v>
      </c>
      <c r="O5" s="47">
        <v>-0.40600000000000003</v>
      </c>
      <c r="P5" s="47">
        <v>0.01</v>
      </c>
      <c r="Q5" s="47">
        <v>26.292999999999999</v>
      </c>
      <c r="R5" s="47">
        <v>5.8000000000000003E-2</v>
      </c>
      <c r="S5" s="47">
        <v>-0.69</v>
      </c>
      <c r="T5" s="47">
        <v>5.1999999999999998E-2</v>
      </c>
      <c r="U5" s="47">
        <v>-20.462</v>
      </c>
      <c r="V5" s="47">
        <v>4.6760000000000002</v>
      </c>
      <c r="W5" s="47">
        <v>-40.912999999999997</v>
      </c>
      <c r="X5" s="47">
        <v>4.5819999999999999</v>
      </c>
      <c r="Y5" s="47">
        <v>-9.7112510299999996E-3</v>
      </c>
      <c r="Z5" s="47" t="s">
        <v>467</v>
      </c>
      <c r="AA5" s="47">
        <v>-0.33100000000000002</v>
      </c>
      <c r="AB5" s="47">
        <v>1.019137111</v>
      </c>
      <c r="AC5" s="47">
        <v>0.93108196480000005</v>
      </c>
      <c r="AD5" s="47">
        <v>0.59399999999999997</v>
      </c>
      <c r="AE5" s="47">
        <v>0</v>
      </c>
      <c r="AF5" s="47">
        <v>-1.8866746810000001E-2</v>
      </c>
      <c r="AG5" s="47" t="s">
        <v>468</v>
      </c>
      <c r="AH5" s="47">
        <v>-0.19400000000000001</v>
      </c>
      <c r="AI5" s="47">
        <v>0.91027428440000002</v>
      </c>
      <c r="AJ5" s="47">
        <v>0.32580981380000001</v>
      </c>
      <c r="AK5" s="47">
        <v>0.14899999999999999</v>
      </c>
      <c r="AL5" s="47">
        <v>0</v>
      </c>
      <c r="AM5" s="47">
        <v>-9</v>
      </c>
      <c r="AN5" s="47"/>
      <c r="AO5" s="47"/>
      <c r="AP5" s="47">
        <v>-0.48</v>
      </c>
      <c r="AQ5" s="47"/>
      <c r="AR5" s="47"/>
      <c r="AS5" s="47">
        <v>30.43</v>
      </c>
      <c r="AT5" s="47"/>
      <c r="AU5" s="47"/>
      <c r="AV5" s="47">
        <v>0.59399999999999997</v>
      </c>
      <c r="AW5" s="47"/>
      <c r="AX5" s="47"/>
      <c r="AY5" s="47"/>
      <c r="AZ5" s="47"/>
      <c r="BA5" s="47">
        <v>0.14899999999999999</v>
      </c>
      <c r="BB5" s="47"/>
      <c r="BC5" s="47"/>
      <c r="BD5" s="47"/>
      <c r="BE5" s="47"/>
      <c r="BF5" s="47">
        <v>24.950044219999999</v>
      </c>
      <c r="BG5" s="47"/>
      <c r="BH5" s="47"/>
      <c r="BI5" s="47">
        <v>1.0292597590000001</v>
      </c>
      <c r="BJ5" s="47"/>
      <c r="BK5" s="47">
        <v>1.1369730870000001</v>
      </c>
      <c r="BL5" s="47"/>
      <c r="BM5" s="47"/>
    </row>
    <row r="6" spans="1:65" x14ac:dyDescent="0.2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</row>
    <row r="7" spans="1:65" s="52" customFormat="1" x14ac:dyDescent="0.2">
      <c r="A7" s="50" t="s">
        <v>469</v>
      </c>
      <c r="B7" s="49"/>
      <c r="C7" s="49"/>
      <c r="D7" s="49"/>
      <c r="E7" s="49"/>
      <c r="F7" s="49"/>
      <c r="G7" s="49"/>
      <c r="H7" s="50">
        <v>2.7284509240000001E-2</v>
      </c>
      <c r="I7" s="49"/>
      <c r="J7" s="50">
        <v>6.6916199669999996E-2</v>
      </c>
      <c r="K7" s="49"/>
      <c r="L7" s="50">
        <v>7.0237691690000006E-2</v>
      </c>
      <c r="M7" s="49"/>
      <c r="N7" s="50">
        <v>7.3499055169999994E-2</v>
      </c>
      <c r="O7" s="49"/>
      <c r="P7" s="50">
        <v>1.7534093769999998E-2</v>
      </c>
      <c r="Q7" s="49"/>
      <c r="R7" s="50">
        <v>0.1066598956</v>
      </c>
      <c r="S7" s="49"/>
      <c r="T7" s="50">
        <v>0.1511228345</v>
      </c>
      <c r="U7" s="49"/>
      <c r="V7" s="50">
        <v>43.449867429999998</v>
      </c>
      <c r="W7" s="49"/>
      <c r="X7" s="50">
        <v>42.56105101</v>
      </c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50">
        <v>-10.32</v>
      </c>
      <c r="AO7" s="50">
        <v>6.08276253E-2</v>
      </c>
      <c r="AP7" s="49"/>
      <c r="AQ7" s="50">
        <v>-0.2933333333</v>
      </c>
      <c r="AR7" s="50">
        <v>0.13316656239999999</v>
      </c>
      <c r="AS7" s="49"/>
      <c r="AT7" s="50">
        <v>30.616666670000001</v>
      </c>
      <c r="AU7" s="50">
        <v>0.13316656239999999</v>
      </c>
      <c r="AV7" s="49"/>
      <c r="AW7" s="50">
        <v>0.61166666670000003</v>
      </c>
      <c r="AX7" s="50">
        <v>1.5940862930000001E-2</v>
      </c>
      <c r="AY7" s="51">
        <v>2.761038452E-2</v>
      </c>
      <c r="AZ7" s="51">
        <v>5.3840249809999997E-2</v>
      </c>
      <c r="BA7" s="49"/>
      <c r="BB7" s="50">
        <v>0.22433333329999999</v>
      </c>
      <c r="BC7" s="50">
        <v>3.011275108E-2</v>
      </c>
      <c r="BD7" s="49"/>
      <c r="BE7" s="49"/>
      <c r="BF7" s="49"/>
      <c r="BG7" s="50">
        <v>19.401928130000002</v>
      </c>
      <c r="BH7" s="50">
        <v>5.024197461</v>
      </c>
      <c r="BI7" s="49"/>
      <c r="BJ7" s="50">
        <v>1.0304698839999999</v>
      </c>
      <c r="BK7" s="49"/>
      <c r="BL7" s="50">
        <f>AVERAGE(BK8:BK10)</f>
        <v>0.14484976953333337</v>
      </c>
      <c r="BM7" s="50">
        <f>STDEV(BK8:BK10)</f>
        <v>1.9654329568943414</v>
      </c>
    </row>
    <row r="8" spans="1:65" x14ac:dyDescent="0.2">
      <c r="A8" s="47" t="s">
        <v>67</v>
      </c>
      <c r="B8" s="53">
        <v>43558.683333333334</v>
      </c>
      <c r="C8" s="47" t="s">
        <v>69</v>
      </c>
      <c r="D8" s="47" t="s">
        <v>469</v>
      </c>
      <c r="E8" s="47" t="s">
        <v>70</v>
      </c>
      <c r="F8" s="53">
        <v>43540.749305555553</v>
      </c>
      <c r="G8" s="47">
        <v>-10.47</v>
      </c>
      <c r="H8" s="47">
        <v>0</v>
      </c>
      <c r="I8" s="47">
        <v>7.89</v>
      </c>
      <c r="J8" s="47">
        <v>0</v>
      </c>
      <c r="K8" s="47">
        <v>39.049999999999997</v>
      </c>
      <c r="L8" s="47">
        <v>0</v>
      </c>
      <c r="M8" s="47">
        <v>6.875</v>
      </c>
      <c r="N8" s="47">
        <v>1.2E-2</v>
      </c>
      <c r="O8" s="47">
        <v>-0.40100000000000002</v>
      </c>
      <c r="P8" s="47">
        <v>1.0999999999999999E-2</v>
      </c>
      <c r="Q8" s="47">
        <v>26.565999999999999</v>
      </c>
      <c r="R8" s="47">
        <v>3.2000000000000001E-2</v>
      </c>
      <c r="S8" s="47">
        <v>-0.995</v>
      </c>
      <c r="T8" s="47">
        <v>3.1E-2</v>
      </c>
      <c r="U8" s="47">
        <v>17.875</v>
      </c>
      <c r="V8" s="47">
        <v>2.0979999999999999</v>
      </c>
      <c r="W8" s="47">
        <v>-2.6880000000000002</v>
      </c>
      <c r="X8" s="47">
        <v>2.0569999999999999</v>
      </c>
      <c r="Y8" s="47">
        <v>-9.2634073519999999E-3</v>
      </c>
      <c r="Z8" s="47" t="s">
        <v>470</v>
      </c>
      <c r="AA8" s="47">
        <v>-0.33800000000000002</v>
      </c>
      <c r="AB8" s="47">
        <v>1.018432193</v>
      </c>
      <c r="AC8" s="47">
        <v>0.93140773170000002</v>
      </c>
      <c r="AD8" s="47">
        <v>0.58799999999999997</v>
      </c>
      <c r="AE8" s="47">
        <v>0</v>
      </c>
      <c r="AF8" s="47">
        <v>-3.0354828850000001E-2</v>
      </c>
      <c r="AG8" s="47" t="s">
        <v>471</v>
      </c>
      <c r="AH8" s="47">
        <v>-0.188</v>
      </c>
      <c r="AI8" s="47">
        <v>0.57726887549999994</v>
      </c>
      <c r="AJ8" s="47">
        <v>0.33767599149999999</v>
      </c>
      <c r="AK8" s="47">
        <v>0.22900000000000001</v>
      </c>
      <c r="AL8" s="47">
        <v>0</v>
      </c>
      <c r="AM8" s="47">
        <v>-10.36</v>
      </c>
      <c r="AN8" s="47"/>
      <c r="AO8" s="47"/>
      <c r="AP8" s="47">
        <v>-0.18</v>
      </c>
      <c r="AQ8" s="47"/>
      <c r="AR8" s="47"/>
      <c r="AS8" s="47">
        <v>30.73</v>
      </c>
      <c r="AT8" s="47"/>
      <c r="AU8" s="47"/>
      <c r="AV8" s="47">
        <v>0.58799999999999997</v>
      </c>
      <c r="AW8" s="47"/>
      <c r="AX8" s="47"/>
      <c r="AY8" s="47"/>
      <c r="AZ8" s="47"/>
      <c r="BA8" s="47">
        <v>0.22900000000000001</v>
      </c>
      <c r="BB8" s="47"/>
      <c r="BC8" s="47"/>
      <c r="BD8" s="47"/>
      <c r="BE8" s="47"/>
      <c r="BF8" s="47">
        <v>27.00357052</v>
      </c>
      <c r="BG8" s="47"/>
      <c r="BH8" s="47"/>
      <c r="BI8" s="47">
        <v>1.0288374819999999</v>
      </c>
      <c r="BJ8" s="47"/>
      <c r="BK8" s="47">
        <v>1.8394725620000001</v>
      </c>
      <c r="BL8" s="47"/>
      <c r="BM8" s="47"/>
    </row>
    <row r="9" spans="1:65" x14ac:dyDescent="0.2">
      <c r="A9" s="47" t="s">
        <v>81</v>
      </c>
      <c r="B9" s="53">
        <v>43577.715277777781</v>
      </c>
      <c r="C9" s="47" t="s">
        <v>69</v>
      </c>
      <c r="D9" s="47" t="s">
        <v>469</v>
      </c>
      <c r="E9" s="47" t="s">
        <v>70</v>
      </c>
      <c r="F9" s="53">
        <v>43540.749305555553</v>
      </c>
      <c r="G9" s="47">
        <v>-10.49</v>
      </c>
      <c r="H9" s="47">
        <v>0</v>
      </c>
      <c r="I9" s="47">
        <v>7.68</v>
      </c>
      <c r="J9" s="47">
        <v>0</v>
      </c>
      <c r="K9" s="47">
        <v>38.83</v>
      </c>
      <c r="L9" s="47">
        <v>0</v>
      </c>
      <c r="M9" s="47">
        <v>6.6980000000000004</v>
      </c>
      <c r="N9" s="47">
        <v>8.0000000000000002E-3</v>
      </c>
      <c r="O9" s="47">
        <v>-0.34200000000000003</v>
      </c>
      <c r="P9" s="47">
        <v>7.0000000000000001E-3</v>
      </c>
      <c r="Q9" s="47">
        <v>26.648</v>
      </c>
      <c r="R9" s="47">
        <v>6.0999999999999999E-2</v>
      </c>
      <c r="S9" s="47">
        <v>-0.49399999999999999</v>
      </c>
      <c r="T9" s="47">
        <v>0.06</v>
      </c>
      <c r="U9" s="47">
        <v>-75.569000000000003</v>
      </c>
      <c r="V9" s="47">
        <v>7.4720000000000004</v>
      </c>
      <c r="W9" s="47">
        <v>-93.843999999999994</v>
      </c>
      <c r="X9" s="47">
        <v>7.3250000000000002</v>
      </c>
      <c r="Y9" s="47">
        <v>-8.1076035159999994E-3</v>
      </c>
      <c r="Z9" s="47" t="s">
        <v>472</v>
      </c>
      <c r="AA9" s="47">
        <v>-0.28699999999999998</v>
      </c>
      <c r="AB9" s="47">
        <v>1.0404372690000001</v>
      </c>
      <c r="AC9" s="47">
        <v>0.94076220629999996</v>
      </c>
      <c r="AD9" s="47">
        <v>0.64200000000000002</v>
      </c>
      <c r="AE9" s="47">
        <v>0</v>
      </c>
      <c r="AF9" s="47">
        <v>-1.7854178790000001E-2</v>
      </c>
      <c r="AG9" s="47" t="s">
        <v>473</v>
      </c>
      <c r="AH9" s="47">
        <v>-1.7999999999999999E-2</v>
      </c>
      <c r="AI9" s="47">
        <v>0.81800994279999995</v>
      </c>
      <c r="AJ9" s="47">
        <v>0.2888038664</v>
      </c>
      <c r="AK9" s="47">
        <v>0.27400000000000002</v>
      </c>
      <c r="AL9" s="47">
        <v>0</v>
      </c>
      <c r="AM9" s="47">
        <v>-10.35</v>
      </c>
      <c r="AN9" s="47"/>
      <c r="AO9" s="47"/>
      <c r="AP9" s="47">
        <v>-0.44</v>
      </c>
      <c r="AQ9" s="47"/>
      <c r="AR9" s="47"/>
      <c r="AS9" s="47">
        <v>30.47</v>
      </c>
      <c r="AT9" s="47"/>
      <c r="AU9" s="47"/>
      <c r="AV9" s="47">
        <v>0.64200000000000002</v>
      </c>
      <c r="AW9" s="47"/>
      <c r="AX9" s="47"/>
      <c r="AY9" s="47"/>
      <c r="AZ9" s="47"/>
      <c r="BA9" s="47">
        <v>0.27400000000000002</v>
      </c>
      <c r="BB9" s="47"/>
      <c r="BC9" s="47"/>
      <c r="BD9" s="47"/>
      <c r="BE9" s="47"/>
      <c r="BF9" s="47">
        <v>9.9099774249999992</v>
      </c>
      <c r="BG9" s="47"/>
      <c r="BH9" s="47"/>
      <c r="BI9" s="47">
        <v>1.032545203</v>
      </c>
      <c r="BJ9" s="47"/>
      <c r="BK9" s="47">
        <v>-2.009793605</v>
      </c>
      <c r="BL9" s="47"/>
      <c r="BM9" s="47"/>
    </row>
    <row r="10" spans="1:65" x14ac:dyDescent="0.2">
      <c r="A10" s="47" t="s">
        <v>89</v>
      </c>
      <c r="B10" s="53">
        <v>43591.688194444447</v>
      </c>
      <c r="C10" s="47" t="s">
        <v>69</v>
      </c>
      <c r="D10" s="47" t="s">
        <v>469</v>
      </c>
      <c r="E10" s="47" t="s">
        <v>70</v>
      </c>
      <c r="F10" s="53">
        <v>43540.749305555553</v>
      </c>
      <c r="G10" s="47">
        <v>-10.4</v>
      </c>
      <c r="H10" s="47">
        <v>0</v>
      </c>
      <c r="I10" s="47">
        <v>7.87</v>
      </c>
      <c r="J10" s="47">
        <v>0</v>
      </c>
      <c r="K10" s="47">
        <v>39.03</v>
      </c>
      <c r="L10" s="47">
        <v>0</v>
      </c>
      <c r="M10" s="47">
        <v>6.9450000000000003</v>
      </c>
      <c r="N10" s="47">
        <v>1.2999999999999999E-2</v>
      </c>
      <c r="O10" s="47">
        <v>-0.38400000000000001</v>
      </c>
      <c r="P10" s="47">
        <v>1.2E-2</v>
      </c>
      <c r="Q10" s="47">
        <v>26.919</v>
      </c>
      <c r="R10" s="47">
        <v>4.4999999999999998E-2</v>
      </c>
      <c r="S10" s="47">
        <v>-0.61299999999999999</v>
      </c>
      <c r="T10" s="47">
        <v>4.2000000000000003E-2</v>
      </c>
      <c r="U10" s="47">
        <v>-131.03399999999999</v>
      </c>
      <c r="V10" s="47">
        <v>14.411</v>
      </c>
      <c r="W10" s="47">
        <v>-148.62</v>
      </c>
      <c r="X10" s="47">
        <v>14.119</v>
      </c>
      <c r="Y10" s="47">
        <v>-8.0274153220000009E-3</v>
      </c>
      <c r="Z10" s="47" t="s">
        <v>474</v>
      </c>
      <c r="AA10" s="47">
        <v>-0.32800000000000001</v>
      </c>
      <c r="AB10" s="47">
        <v>1.016876522</v>
      </c>
      <c r="AC10" s="47">
        <v>0.9388122686</v>
      </c>
      <c r="AD10" s="47">
        <v>0.60499999999999998</v>
      </c>
      <c r="AE10" s="47">
        <v>0</v>
      </c>
      <c r="AF10" s="47">
        <v>-1.9462781870000001E-2</v>
      </c>
      <c r="AG10" s="47" t="s">
        <v>475</v>
      </c>
      <c r="AH10" s="47">
        <v>-0.09</v>
      </c>
      <c r="AI10" s="47">
        <v>0.87928670819999999</v>
      </c>
      <c r="AJ10" s="47">
        <v>0.2482921649</v>
      </c>
      <c r="AK10" s="47">
        <v>0.17</v>
      </c>
      <c r="AL10" s="47">
        <v>0</v>
      </c>
      <c r="AM10" s="47">
        <v>-10.25</v>
      </c>
      <c r="AN10" s="47"/>
      <c r="AO10" s="47"/>
      <c r="AP10" s="47">
        <v>-0.26</v>
      </c>
      <c r="AQ10" s="47"/>
      <c r="AR10" s="47"/>
      <c r="AS10" s="47">
        <v>30.65</v>
      </c>
      <c r="AT10" s="47"/>
      <c r="AU10" s="47"/>
      <c r="AV10" s="47">
        <v>0.60499999999999998</v>
      </c>
      <c r="AW10" s="47"/>
      <c r="AX10" s="47"/>
      <c r="AY10" s="47"/>
      <c r="AZ10" s="47"/>
      <c r="BA10" s="47">
        <v>0.17</v>
      </c>
      <c r="BB10" s="47"/>
      <c r="BC10" s="47"/>
      <c r="BD10" s="47"/>
      <c r="BE10" s="47"/>
      <c r="BF10" s="47">
        <v>21.29223644</v>
      </c>
      <c r="BG10" s="47"/>
      <c r="BH10" s="47"/>
      <c r="BI10" s="47">
        <v>1.030026967</v>
      </c>
      <c r="BJ10" s="47"/>
      <c r="BK10" s="47">
        <v>0.60487035160000002</v>
      </c>
      <c r="BL10" s="47"/>
      <c r="BM10" s="47"/>
    </row>
    <row r="11" spans="1:65" x14ac:dyDescent="0.2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</row>
    <row r="12" spans="1:65" s="52" customFormat="1" x14ac:dyDescent="0.2">
      <c r="A12" s="50" t="s">
        <v>476</v>
      </c>
      <c r="B12" s="49"/>
      <c r="C12" s="49"/>
      <c r="D12" s="49"/>
      <c r="E12" s="49"/>
      <c r="F12" s="49"/>
      <c r="G12" s="49"/>
      <c r="H12" s="50">
        <v>3.5118845840000003E-2</v>
      </c>
      <c r="I12" s="49"/>
      <c r="J12" s="50">
        <v>9.2074848779999996E-2</v>
      </c>
      <c r="K12" s="49"/>
      <c r="L12" s="50">
        <v>9.2074848779999996E-2</v>
      </c>
      <c r="M12" s="49"/>
      <c r="N12" s="50">
        <v>0.1189121992</v>
      </c>
      <c r="O12" s="49"/>
      <c r="P12" s="50">
        <v>7.4461026350000001E-3</v>
      </c>
      <c r="Q12" s="49"/>
      <c r="R12" s="50">
        <v>0.18009010089999999</v>
      </c>
      <c r="S12" s="49"/>
      <c r="T12" s="50">
        <v>0.21618998850000001</v>
      </c>
      <c r="U12" s="49"/>
      <c r="V12" s="50">
        <v>54.054979420000002</v>
      </c>
      <c r="W12" s="49"/>
      <c r="X12" s="50">
        <v>52.944397080000002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50">
        <v>-11.356666669999999</v>
      </c>
      <c r="AO12" s="50">
        <v>6.0277137729999999E-2</v>
      </c>
      <c r="AP12" s="49"/>
      <c r="AQ12" s="50">
        <v>7.6666666669999994E-2</v>
      </c>
      <c r="AR12" s="50">
        <v>0.17616280349999999</v>
      </c>
      <c r="AS12" s="49"/>
      <c r="AT12" s="50">
        <v>30.99666667</v>
      </c>
      <c r="AU12" s="50">
        <v>0.17616280349999999</v>
      </c>
      <c r="AV12" s="49"/>
      <c r="AW12" s="50">
        <v>0.61433333329999995</v>
      </c>
      <c r="AX12" s="50">
        <v>5.238744549E-3</v>
      </c>
      <c r="AY12" s="51">
        <v>9.0737717259999993E-3</v>
      </c>
      <c r="AZ12" s="51">
        <v>1.7693854870000001E-2</v>
      </c>
      <c r="BA12" s="49"/>
      <c r="BB12" s="50">
        <v>0.25166666669999999</v>
      </c>
      <c r="BC12" s="50">
        <v>4.517127898E-2</v>
      </c>
      <c r="BD12" s="49"/>
      <c r="BE12" s="49"/>
      <c r="BF12" s="49"/>
      <c r="BG12" s="50">
        <v>18.320235520000001</v>
      </c>
      <c r="BH12" s="50">
        <v>1.653518375</v>
      </c>
      <c r="BI12" s="49"/>
      <c r="BJ12" s="50">
        <v>1.0306691480000001</v>
      </c>
      <c r="BK12" s="49"/>
      <c r="BL12" s="50">
        <f>AVERAGE(BK13:BK15)</f>
        <v>0.31808437400000006</v>
      </c>
      <c r="BM12" s="50">
        <f>STDEV(BK13:BK15)</f>
        <v>0.77376381001555816</v>
      </c>
    </row>
    <row r="13" spans="1:65" x14ac:dyDescent="0.2">
      <c r="A13" s="47" t="s">
        <v>67</v>
      </c>
      <c r="B13" s="53">
        <v>43558.772222222222</v>
      </c>
      <c r="C13" s="47" t="s">
        <v>69</v>
      </c>
      <c r="D13" s="47" t="s">
        <v>476</v>
      </c>
      <c r="E13" s="47" t="s">
        <v>70</v>
      </c>
      <c r="F13" s="53">
        <v>43540.749305555553</v>
      </c>
      <c r="G13" s="47">
        <v>-11.46</v>
      </c>
      <c r="H13" s="47">
        <v>0</v>
      </c>
      <c r="I13" s="47">
        <v>8.2899999999999991</v>
      </c>
      <c r="J13" s="47">
        <v>0</v>
      </c>
      <c r="K13" s="47">
        <v>39.46</v>
      </c>
      <c r="L13" s="47">
        <v>0</v>
      </c>
      <c r="M13" s="47">
        <v>6.3369999999999997</v>
      </c>
      <c r="N13" s="47">
        <v>1.2E-2</v>
      </c>
      <c r="O13" s="47">
        <v>-0.378</v>
      </c>
      <c r="P13" s="47">
        <v>1.2E-2</v>
      </c>
      <c r="Q13" s="47">
        <v>27.239000000000001</v>
      </c>
      <c r="R13" s="47">
        <v>6.6000000000000003E-2</v>
      </c>
      <c r="S13" s="47">
        <v>-1.1299999999999999</v>
      </c>
      <c r="T13" s="47">
        <v>6.4000000000000001E-2</v>
      </c>
      <c r="U13" s="47">
        <v>16.492999999999999</v>
      </c>
      <c r="V13" s="47">
        <v>2.4319999999999999</v>
      </c>
      <c r="W13" s="47">
        <v>-3.8420000000000001</v>
      </c>
      <c r="X13" s="47">
        <v>2.3839999999999999</v>
      </c>
      <c r="Y13" s="47">
        <v>-9.2634073519999999E-3</v>
      </c>
      <c r="Z13" s="47" t="s">
        <v>477</v>
      </c>
      <c r="AA13" s="47">
        <v>-0.31900000000000001</v>
      </c>
      <c r="AB13" s="47">
        <v>1.018432193</v>
      </c>
      <c r="AC13" s="47">
        <v>0.93140773170000002</v>
      </c>
      <c r="AD13" s="47">
        <v>0.60599999999999998</v>
      </c>
      <c r="AE13" s="47">
        <v>0</v>
      </c>
      <c r="AF13" s="47">
        <v>-3.0354828850000001E-2</v>
      </c>
      <c r="AG13" s="47" t="s">
        <v>478</v>
      </c>
      <c r="AH13" s="47">
        <v>-0.30299999999999999</v>
      </c>
      <c r="AI13" s="47">
        <v>0.57726887549999994</v>
      </c>
      <c r="AJ13" s="47">
        <v>0.33767599149999999</v>
      </c>
      <c r="AK13" s="47">
        <v>0.16300000000000001</v>
      </c>
      <c r="AL13" s="47">
        <v>0</v>
      </c>
      <c r="AM13" s="47">
        <v>-11.35</v>
      </c>
      <c r="AN13" s="47"/>
      <c r="AO13" s="47"/>
      <c r="AP13" s="47">
        <v>0.22</v>
      </c>
      <c r="AQ13" s="47"/>
      <c r="AR13" s="47"/>
      <c r="AS13" s="47">
        <v>31.14</v>
      </c>
      <c r="AT13" s="47"/>
      <c r="AU13" s="47"/>
      <c r="AV13" s="47">
        <v>0.60599999999999998</v>
      </c>
      <c r="AW13" s="47"/>
      <c r="AX13" s="47"/>
      <c r="AY13" s="47"/>
      <c r="AZ13" s="47"/>
      <c r="BA13" s="47">
        <v>0.16300000000000001</v>
      </c>
      <c r="BB13" s="47"/>
      <c r="BC13" s="47"/>
      <c r="BD13" s="47"/>
      <c r="BE13" s="47"/>
      <c r="BF13" s="47">
        <v>20.966345650000001</v>
      </c>
      <c r="BG13" s="47"/>
      <c r="BH13" s="47"/>
      <c r="BI13" s="47">
        <v>1.030096275</v>
      </c>
      <c r="BJ13" s="47"/>
      <c r="BK13" s="47">
        <v>1.013230289</v>
      </c>
      <c r="BL13" s="47"/>
      <c r="BM13" s="47"/>
    </row>
    <row r="14" spans="1:65" x14ac:dyDescent="0.2">
      <c r="A14" s="47" t="s">
        <v>81</v>
      </c>
      <c r="B14" s="53">
        <v>43577.800694444442</v>
      </c>
      <c r="C14" s="47" t="s">
        <v>69</v>
      </c>
      <c r="D14" s="47" t="s">
        <v>476</v>
      </c>
      <c r="E14" s="47" t="s">
        <v>70</v>
      </c>
      <c r="F14" s="53">
        <v>43540.749305555553</v>
      </c>
      <c r="G14" s="47">
        <v>-11.56</v>
      </c>
      <c r="H14" s="47">
        <v>0</v>
      </c>
      <c r="I14" s="47">
        <v>8</v>
      </c>
      <c r="J14" s="47">
        <v>0</v>
      </c>
      <c r="K14" s="47">
        <v>39.17</v>
      </c>
      <c r="L14" s="47">
        <v>0</v>
      </c>
      <c r="M14" s="47">
        <v>5.9729999999999999</v>
      </c>
      <c r="N14" s="47">
        <v>8.0000000000000002E-3</v>
      </c>
      <c r="O14" s="47">
        <v>-0.35299999999999998</v>
      </c>
      <c r="P14" s="47">
        <v>7.0000000000000001E-3</v>
      </c>
      <c r="Q14" s="47">
        <v>27.341000000000001</v>
      </c>
      <c r="R14" s="47">
        <v>6.7000000000000004E-2</v>
      </c>
      <c r="S14" s="47">
        <v>-0.46100000000000002</v>
      </c>
      <c r="T14" s="47">
        <v>6.3E-2</v>
      </c>
      <c r="U14" s="47">
        <v>-91.733000000000004</v>
      </c>
      <c r="V14" s="47">
        <v>5.0529999999999999</v>
      </c>
      <c r="W14" s="47">
        <v>-109.307</v>
      </c>
      <c r="X14" s="47">
        <v>4.9569999999999999</v>
      </c>
      <c r="Y14" s="47">
        <v>-8.1076035159999994E-3</v>
      </c>
      <c r="Z14" s="47" t="s">
        <v>479</v>
      </c>
      <c r="AA14" s="47">
        <v>-0.30499999999999999</v>
      </c>
      <c r="AB14" s="47">
        <v>1.0404372690000001</v>
      </c>
      <c r="AC14" s="47">
        <v>0.94076220629999996</v>
      </c>
      <c r="AD14" s="47">
        <v>0.624</v>
      </c>
      <c r="AE14" s="47">
        <v>0</v>
      </c>
      <c r="AF14" s="47">
        <v>-1.7854178790000001E-2</v>
      </c>
      <c r="AG14" s="47" t="s">
        <v>480</v>
      </c>
      <c r="AH14" s="47">
        <v>2.8000000000000001E-2</v>
      </c>
      <c r="AI14" s="47">
        <v>0.81800994279999995</v>
      </c>
      <c r="AJ14" s="47">
        <v>0.2888038664</v>
      </c>
      <c r="AK14" s="47">
        <v>0.311</v>
      </c>
      <c r="AL14" s="47">
        <v>0</v>
      </c>
      <c r="AM14" s="47">
        <v>-11.42</v>
      </c>
      <c r="AN14" s="47"/>
      <c r="AO14" s="47"/>
      <c r="AP14" s="47">
        <v>-0.12</v>
      </c>
      <c r="AQ14" s="47"/>
      <c r="AR14" s="47"/>
      <c r="AS14" s="47">
        <v>30.8</v>
      </c>
      <c r="AT14" s="47"/>
      <c r="AU14" s="47"/>
      <c r="AV14" s="47">
        <v>0.624</v>
      </c>
      <c r="AW14" s="47"/>
      <c r="AX14" s="47"/>
      <c r="AY14" s="47"/>
      <c r="AZ14" s="47"/>
      <c r="BA14" s="47">
        <v>0.311</v>
      </c>
      <c r="BB14" s="47"/>
      <c r="BC14" s="47"/>
      <c r="BD14" s="47"/>
      <c r="BE14" s="47"/>
      <c r="BF14" s="47">
        <v>15.279349</v>
      </c>
      <c r="BG14" s="47"/>
      <c r="BH14" s="47"/>
      <c r="BI14" s="47">
        <v>1.0313317390000001</v>
      </c>
      <c r="BJ14" s="47"/>
      <c r="BK14" s="47">
        <v>-0.51558482019999996</v>
      </c>
      <c r="BL14" s="47"/>
      <c r="BM14" s="47"/>
    </row>
    <row r="15" spans="1:65" x14ac:dyDescent="0.2">
      <c r="A15" s="47" t="s">
        <v>89</v>
      </c>
      <c r="B15" s="53">
        <v>43591.772916666669</v>
      </c>
      <c r="C15" s="47" t="s">
        <v>69</v>
      </c>
      <c r="D15" s="47" t="s">
        <v>476</v>
      </c>
      <c r="E15" s="47" t="s">
        <v>70</v>
      </c>
      <c r="F15" s="53">
        <v>43540.749305555553</v>
      </c>
      <c r="G15" s="47">
        <v>-11.45</v>
      </c>
      <c r="H15" s="47">
        <v>0</v>
      </c>
      <c r="I15" s="47">
        <v>8.26</v>
      </c>
      <c r="J15" s="47">
        <v>0</v>
      </c>
      <c r="K15" s="47">
        <v>39.43</v>
      </c>
      <c r="L15" s="47">
        <v>0</v>
      </c>
      <c r="M15" s="47">
        <v>6.3220000000000001</v>
      </c>
      <c r="N15" s="47">
        <v>1.0999999999999999E-2</v>
      </c>
      <c r="O15" s="47">
        <v>-0.371</v>
      </c>
      <c r="P15" s="47">
        <v>0.01</v>
      </c>
      <c r="Q15" s="47">
        <v>27.823</v>
      </c>
      <c r="R15" s="47">
        <v>0.06</v>
      </c>
      <c r="S15" s="47">
        <v>-0.504</v>
      </c>
      <c r="T15" s="47">
        <v>5.8999999999999997E-2</v>
      </c>
      <c r="U15" s="47">
        <v>-169.95599999999999</v>
      </c>
      <c r="V15" s="47">
        <v>11.981</v>
      </c>
      <c r="W15" s="47">
        <v>-186.52</v>
      </c>
      <c r="X15" s="47">
        <v>11.741</v>
      </c>
      <c r="Y15" s="47">
        <v>-8.0274153220000009E-3</v>
      </c>
      <c r="Z15" s="47" t="s">
        <v>481</v>
      </c>
      <c r="AA15" s="47">
        <v>-0.32100000000000001</v>
      </c>
      <c r="AB15" s="47">
        <v>1.016876522</v>
      </c>
      <c r="AC15" s="47">
        <v>0.9388122686</v>
      </c>
      <c r="AD15" s="47">
        <v>0.61299999999999999</v>
      </c>
      <c r="AE15" s="47">
        <v>0</v>
      </c>
      <c r="AF15" s="47">
        <v>-1.9462781870000001E-2</v>
      </c>
      <c r="AG15" s="47" t="s">
        <v>482</v>
      </c>
      <c r="AH15" s="47">
        <v>3.6999999999999998E-2</v>
      </c>
      <c r="AI15" s="47">
        <v>0.87928670819999999</v>
      </c>
      <c r="AJ15" s="47">
        <v>0.2482921649</v>
      </c>
      <c r="AK15" s="47">
        <v>0.28100000000000003</v>
      </c>
      <c r="AL15" s="47">
        <v>0</v>
      </c>
      <c r="AM15" s="47">
        <v>-11.3</v>
      </c>
      <c r="AN15" s="47"/>
      <c r="AO15" s="47"/>
      <c r="AP15" s="47">
        <v>0.13</v>
      </c>
      <c r="AQ15" s="47"/>
      <c r="AR15" s="47"/>
      <c r="AS15" s="47">
        <v>31.05</v>
      </c>
      <c r="AT15" s="47"/>
      <c r="AU15" s="47"/>
      <c r="AV15" s="47">
        <v>0.61299999999999999</v>
      </c>
      <c r="AW15" s="47"/>
      <c r="AX15" s="47"/>
      <c r="AY15" s="47"/>
      <c r="AZ15" s="47"/>
      <c r="BA15" s="47">
        <v>0.28100000000000003</v>
      </c>
      <c r="BB15" s="47"/>
      <c r="BC15" s="47"/>
      <c r="BD15" s="47"/>
      <c r="BE15" s="47"/>
      <c r="BF15" s="47">
        <v>18.715011919999998</v>
      </c>
      <c r="BG15" s="47"/>
      <c r="BH15" s="47"/>
      <c r="BI15" s="47">
        <v>1.03057943</v>
      </c>
      <c r="BJ15" s="47"/>
      <c r="BK15" s="47">
        <v>0.45660765320000002</v>
      </c>
      <c r="BL15" s="47"/>
      <c r="BM15" s="47"/>
    </row>
    <row r="16" spans="1:65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</row>
    <row r="17" spans="1:65" s="52" customFormat="1" x14ac:dyDescent="0.2">
      <c r="A17" s="50" t="s">
        <v>483</v>
      </c>
      <c r="B17" s="49"/>
      <c r="C17" s="49"/>
      <c r="D17" s="49"/>
      <c r="E17" s="49"/>
      <c r="F17" s="49"/>
      <c r="G17" s="49"/>
      <c r="H17" s="50">
        <v>2.6034165590000002E-2</v>
      </c>
      <c r="I17" s="49"/>
      <c r="J17" s="50">
        <v>6.1734197259999998E-2</v>
      </c>
      <c r="K17" s="49"/>
      <c r="L17" s="50">
        <v>6.3595946759999994E-2</v>
      </c>
      <c r="M17" s="49"/>
      <c r="N17" s="50">
        <v>7.8973272550000001E-2</v>
      </c>
      <c r="O17" s="49"/>
      <c r="P17" s="50">
        <v>8.6666666670000003E-3</v>
      </c>
      <c r="Q17" s="49"/>
      <c r="R17" s="50">
        <v>0.16464743479999999</v>
      </c>
      <c r="S17" s="49"/>
      <c r="T17" s="50">
        <v>0.1741286242</v>
      </c>
      <c r="U17" s="49"/>
      <c r="V17" s="50">
        <v>59.582415109999999</v>
      </c>
      <c r="W17" s="49"/>
      <c r="X17" s="50">
        <v>58.46899586</v>
      </c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50">
        <v>-10.866666670000001</v>
      </c>
      <c r="AO17" s="50">
        <v>3.7859388969999998E-2</v>
      </c>
      <c r="AP17" s="49"/>
      <c r="AQ17" s="50">
        <v>-0.91333333329999999</v>
      </c>
      <c r="AR17" s="50">
        <v>0.1137248141</v>
      </c>
      <c r="AS17" s="49"/>
      <c r="AT17" s="50">
        <v>29.98</v>
      </c>
      <c r="AU17" s="50">
        <v>0.12489996</v>
      </c>
      <c r="AV17" s="49"/>
      <c r="AW17" s="50">
        <v>0.63366666670000005</v>
      </c>
      <c r="AX17" s="50">
        <v>8.3333333329999992E-3</v>
      </c>
      <c r="AY17" s="51">
        <v>1.443375673E-2</v>
      </c>
      <c r="AZ17" s="51">
        <v>2.8145825619999999E-2</v>
      </c>
      <c r="BA17" s="49"/>
      <c r="BB17" s="50">
        <v>0.21033333330000001</v>
      </c>
      <c r="BC17" s="50">
        <v>1.328323923E-2</v>
      </c>
      <c r="BD17" s="49"/>
      <c r="BE17" s="49"/>
      <c r="BF17" s="49"/>
      <c r="BG17" s="50">
        <v>12.42382531</v>
      </c>
      <c r="BH17" s="50">
        <v>2.513847889</v>
      </c>
      <c r="BI17" s="49"/>
      <c r="BJ17" s="50">
        <v>1.0319814570000001</v>
      </c>
      <c r="BK17" s="49"/>
      <c r="BL17" s="50">
        <f>AVERAGE(BK18:BK20)</f>
        <v>-1.9387821506999998</v>
      </c>
      <c r="BM17" s="50">
        <f>STDEV(BK18:BK20)</f>
        <v>1.0325082494519469</v>
      </c>
    </row>
    <row r="18" spans="1:65" x14ac:dyDescent="0.2">
      <c r="A18" s="47" t="s">
        <v>67</v>
      </c>
      <c r="B18" s="53">
        <v>43558.857638888891</v>
      </c>
      <c r="C18" s="47" t="s">
        <v>69</v>
      </c>
      <c r="D18" s="47" t="s">
        <v>483</v>
      </c>
      <c r="E18" s="47" t="s">
        <v>70</v>
      </c>
      <c r="F18" s="53">
        <v>43540.749305555553</v>
      </c>
      <c r="G18" s="47">
        <v>-10.96</v>
      </c>
      <c r="H18" s="47">
        <v>0</v>
      </c>
      <c r="I18" s="47">
        <v>7.25</v>
      </c>
      <c r="J18" s="47">
        <v>0</v>
      </c>
      <c r="K18" s="47">
        <v>38.4</v>
      </c>
      <c r="L18" s="47">
        <v>0</v>
      </c>
      <c r="M18" s="47">
        <v>5.7930000000000001</v>
      </c>
      <c r="N18" s="47">
        <v>0.01</v>
      </c>
      <c r="O18" s="47">
        <v>-0.36199999999999999</v>
      </c>
      <c r="P18" s="47">
        <v>0.01</v>
      </c>
      <c r="Q18" s="47">
        <v>25.241</v>
      </c>
      <c r="R18" s="47">
        <v>5.3999999999999999E-2</v>
      </c>
      <c r="S18" s="47">
        <v>-1.0269999999999999</v>
      </c>
      <c r="T18" s="47">
        <v>5.3999999999999999E-2</v>
      </c>
      <c r="U18" s="47">
        <v>19.161999999999999</v>
      </c>
      <c r="V18" s="47">
        <v>1.978</v>
      </c>
      <c r="W18" s="47">
        <v>0.32100000000000001</v>
      </c>
      <c r="X18" s="47">
        <v>1.9410000000000001</v>
      </c>
      <c r="Y18" s="47">
        <v>-9.2634073519999999E-3</v>
      </c>
      <c r="Z18" s="47" t="s">
        <v>484</v>
      </c>
      <c r="AA18" s="47">
        <v>-0.308</v>
      </c>
      <c r="AB18" s="47">
        <v>1.018432193</v>
      </c>
      <c r="AC18" s="47">
        <v>0.93140773170000002</v>
      </c>
      <c r="AD18" s="47">
        <v>0.61699999999999999</v>
      </c>
      <c r="AE18" s="47">
        <v>0</v>
      </c>
      <c r="AF18" s="47">
        <v>-3.0354828850000001E-2</v>
      </c>
      <c r="AG18" s="47" t="s">
        <v>485</v>
      </c>
      <c r="AH18" s="47">
        <v>-0.26</v>
      </c>
      <c r="AI18" s="47">
        <v>0.57726887549999994</v>
      </c>
      <c r="AJ18" s="47">
        <v>0.33767599149999999</v>
      </c>
      <c r="AK18" s="47">
        <v>0.187</v>
      </c>
      <c r="AL18" s="47">
        <v>0</v>
      </c>
      <c r="AM18" s="47">
        <v>-10.85</v>
      </c>
      <c r="AN18" s="47"/>
      <c r="AO18" s="47"/>
      <c r="AP18" s="47">
        <v>-0.82</v>
      </c>
      <c r="AQ18" s="47"/>
      <c r="AR18" s="47"/>
      <c r="AS18" s="47">
        <v>30.08</v>
      </c>
      <c r="AT18" s="47"/>
      <c r="AU18" s="47"/>
      <c r="AV18" s="47">
        <v>0.61699999999999999</v>
      </c>
      <c r="AW18" s="47"/>
      <c r="AX18" s="47"/>
      <c r="AY18" s="47"/>
      <c r="AZ18" s="47"/>
      <c r="BA18" s="47">
        <v>0.187</v>
      </c>
      <c r="BB18" s="47"/>
      <c r="BC18" s="47"/>
      <c r="BD18" s="47"/>
      <c r="BE18" s="47"/>
      <c r="BF18" s="47">
        <v>17.45152109</v>
      </c>
      <c r="BG18" s="47"/>
      <c r="BH18" s="47"/>
      <c r="BI18" s="47">
        <v>1.0308539649999999</v>
      </c>
      <c r="BJ18" s="47"/>
      <c r="BK18" s="47">
        <v>-0.75080019109999996</v>
      </c>
      <c r="BL18" s="47"/>
      <c r="BM18" s="47"/>
    </row>
    <row r="19" spans="1:65" x14ac:dyDescent="0.2">
      <c r="A19" s="47" t="s">
        <v>81</v>
      </c>
      <c r="B19" s="53">
        <v>43577.887499999997</v>
      </c>
      <c r="C19" s="47" t="s">
        <v>69</v>
      </c>
      <c r="D19" s="47" t="s">
        <v>483</v>
      </c>
      <c r="E19" s="47" t="s">
        <v>70</v>
      </c>
      <c r="F19" s="53">
        <v>43540.749305555553</v>
      </c>
      <c r="G19" s="47">
        <v>-11.05</v>
      </c>
      <c r="H19" s="47">
        <v>0</v>
      </c>
      <c r="I19" s="47">
        <v>7.06</v>
      </c>
      <c r="J19" s="47">
        <v>0</v>
      </c>
      <c r="K19" s="47">
        <v>38.200000000000003</v>
      </c>
      <c r="L19" s="47">
        <v>0</v>
      </c>
      <c r="M19" s="47">
        <v>5.5389999999999997</v>
      </c>
      <c r="N19" s="47">
        <v>1.4E-2</v>
      </c>
      <c r="O19" s="47">
        <v>-0.33200000000000002</v>
      </c>
      <c r="P19" s="47">
        <v>1.4999999999999999E-2</v>
      </c>
      <c r="Q19" s="47">
        <v>25.346</v>
      </c>
      <c r="R19" s="47">
        <v>4.1000000000000002E-2</v>
      </c>
      <c r="S19" s="47">
        <v>-0.54800000000000004</v>
      </c>
      <c r="T19" s="47">
        <v>4.2000000000000003E-2</v>
      </c>
      <c r="U19" s="47">
        <v>-78.409000000000006</v>
      </c>
      <c r="V19" s="47">
        <v>5.9029999999999996</v>
      </c>
      <c r="W19" s="47">
        <v>-95.021000000000001</v>
      </c>
      <c r="X19" s="47">
        <v>5.7960000000000003</v>
      </c>
      <c r="Y19" s="47">
        <v>-8.1076035159999994E-3</v>
      </c>
      <c r="Z19" s="47" t="s">
        <v>486</v>
      </c>
      <c r="AA19" s="47">
        <v>-0.28699999999999998</v>
      </c>
      <c r="AB19" s="47">
        <v>1.0404372690000001</v>
      </c>
      <c r="AC19" s="47">
        <v>0.94076220629999996</v>
      </c>
      <c r="AD19" s="47">
        <v>0.64200000000000002</v>
      </c>
      <c r="AE19" s="47">
        <v>0</v>
      </c>
      <c r="AF19" s="47">
        <v>-1.7854178790000001E-2</v>
      </c>
      <c r="AG19" s="47" t="s">
        <v>487</v>
      </c>
      <c r="AH19" s="47">
        <v>-9.5000000000000001E-2</v>
      </c>
      <c r="AI19" s="47">
        <v>0.81800994279999995</v>
      </c>
      <c r="AJ19" s="47">
        <v>0.2888038664</v>
      </c>
      <c r="AK19" s="47">
        <v>0.21099999999999999</v>
      </c>
      <c r="AL19" s="47">
        <v>0</v>
      </c>
      <c r="AM19" s="47">
        <v>-10.91</v>
      </c>
      <c r="AN19" s="47"/>
      <c r="AO19" s="47"/>
      <c r="AP19" s="47">
        <v>-1.04</v>
      </c>
      <c r="AQ19" s="47"/>
      <c r="AR19" s="47"/>
      <c r="AS19" s="47">
        <v>29.84</v>
      </c>
      <c r="AT19" s="47"/>
      <c r="AU19" s="47"/>
      <c r="AV19" s="47">
        <v>0.64200000000000002</v>
      </c>
      <c r="AW19" s="47"/>
      <c r="AX19" s="47"/>
      <c r="AY19" s="47"/>
      <c r="AZ19" s="47"/>
      <c r="BA19" s="47">
        <v>0.21099999999999999</v>
      </c>
      <c r="BB19" s="47"/>
      <c r="BC19" s="47"/>
      <c r="BD19" s="47"/>
      <c r="BE19" s="47"/>
      <c r="BF19" s="47">
        <v>9.9099774249999992</v>
      </c>
      <c r="BG19" s="47"/>
      <c r="BH19" s="47"/>
      <c r="BI19" s="47">
        <v>1.032545203</v>
      </c>
      <c r="BJ19" s="47"/>
      <c r="BK19" s="47">
        <v>-2.6199363849999999</v>
      </c>
      <c r="BL19" s="47"/>
      <c r="BM19" s="47"/>
    </row>
    <row r="20" spans="1:65" x14ac:dyDescent="0.2">
      <c r="A20" s="47" t="s">
        <v>89</v>
      </c>
      <c r="B20" s="53">
        <v>43598.71875</v>
      </c>
      <c r="C20" s="47" t="s">
        <v>69</v>
      </c>
      <c r="D20" s="47" t="s">
        <v>483</v>
      </c>
      <c r="E20" s="47" t="s">
        <v>70</v>
      </c>
      <c r="F20" s="53">
        <v>43540.749305555553</v>
      </c>
      <c r="G20" s="47">
        <v>-11</v>
      </c>
      <c r="H20" s="47">
        <v>0.01</v>
      </c>
      <c r="I20" s="47">
        <v>7.24</v>
      </c>
      <c r="J20" s="47">
        <v>0.02</v>
      </c>
      <c r="K20" s="47">
        <v>38.380000000000003</v>
      </c>
      <c r="L20" s="47">
        <v>0.02</v>
      </c>
      <c r="M20" s="47">
        <v>5.7539999999999996</v>
      </c>
      <c r="N20" s="47">
        <v>1.4999999999999999E-2</v>
      </c>
      <c r="O20" s="47">
        <v>-0.34599999999999997</v>
      </c>
      <c r="P20" s="47">
        <v>1.9E-2</v>
      </c>
      <c r="Q20" s="47">
        <v>25.779</v>
      </c>
      <c r="R20" s="47">
        <v>8.6999999999999994E-2</v>
      </c>
      <c r="S20" s="47">
        <v>-0.47</v>
      </c>
      <c r="T20" s="47">
        <v>0.08</v>
      </c>
      <c r="U20" s="47">
        <v>-187.137</v>
      </c>
      <c r="V20" s="47">
        <v>11.59</v>
      </c>
      <c r="W20" s="47">
        <v>-202.108</v>
      </c>
      <c r="X20" s="47">
        <v>11.371</v>
      </c>
      <c r="Y20" s="47">
        <v>-7.9164005040000002E-3</v>
      </c>
      <c r="Z20" s="47" t="s">
        <v>488</v>
      </c>
      <c r="AA20" s="47">
        <v>-0.30099999999999999</v>
      </c>
      <c r="AB20" s="47">
        <v>1.0151460409999999</v>
      </c>
      <c r="AC20" s="47">
        <v>0.94715317700000001</v>
      </c>
      <c r="AD20" s="47">
        <v>0.64200000000000002</v>
      </c>
      <c r="AE20" s="47">
        <v>0</v>
      </c>
      <c r="AF20" s="47">
        <v>-1.6602314470000001E-2</v>
      </c>
      <c r="AG20" s="47" t="s">
        <v>489</v>
      </c>
      <c r="AH20" s="47">
        <v>-4.2000000000000003E-2</v>
      </c>
      <c r="AI20" s="47">
        <v>1.253503485</v>
      </c>
      <c r="AJ20" s="47">
        <v>0.2865840127</v>
      </c>
      <c r="AK20" s="47">
        <v>0.23300000000000001</v>
      </c>
      <c r="AL20" s="47">
        <v>0</v>
      </c>
      <c r="AM20" s="47">
        <v>-10.84</v>
      </c>
      <c r="AN20" s="47"/>
      <c r="AO20" s="47"/>
      <c r="AP20" s="47">
        <v>-0.88</v>
      </c>
      <c r="AQ20" s="47"/>
      <c r="AR20" s="47"/>
      <c r="AS20" s="47">
        <v>30.02</v>
      </c>
      <c r="AT20" s="47"/>
      <c r="AU20" s="47"/>
      <c r="AV20" s="47">
        <v>0.64200000000000002</v>
      </c>
      <c r="AW20" s="47"/>
      <c r="AX20" s="47"/>
      <c r="AY20" s="47"/>
      <c r="AZ20" s="47"/>
      <c r="BA20" s="47">
        <v>0.23300000000000001</v>
      </c>
      <c r="BB20" s="47"/>
      <c r="BC20" s="47"/>
      <c r="BD20" s="47"/>
      <c r="BE20" s="47"/>
      <c r="BF20" s="47">
        <v>9.9099774249999992</v>
      </c>
      <c r="BG20" s="47"/>
      <c r="BH20" s="47"/>
      <c r="BI20" s="47">
        <v>1.032545203</v>
      </c>
      <c r="BJ20" s="47"/>
      <c r="BK20" s="47">
        <v>-2.4456098759999998</v>
      </c>
      <c r="BL20" s="47"/>
      <c r="BM20" s="47"/>
    </row>
    <row r="21" spans="1:65" x14ac:dyDescent="0.2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</row>
    <row r="22" spans="1:65" s="52" customFormat="1" x14ac:dyDescent="0.2">
      <c r="A22" s="50" t="s">
        <v>490</v>
      </c>
      <c r="B22" s="49"/>
      <c r="C22" s="49"/>
      <c r="D22" s="49"/>
      <c r="E22" s="49"/>
      <c r="F22" s="49"/>
      <c r="G22" s="49"/>
      <c r="H22" s="50">
        <v>8.8191710369999992E-3</v>
      </c>
      <c r="I22" s="49"/>
      <c r="J22" s="50">
        <v>7.5351030370000002E-2</v>
      </c>
      <c r="K22" s="49"/>
      <c r="L22" s="50">
        <v>7.8102496760000001E-2</v>
      </c>
      <c r="M22" s="49"/>
      <c r="N22" s="50">
        <v>7.586025163E-2</v>
      </c>
      <c r="O22" s="49"/>
      <c r="P22" s="50">
        <v>7.6883750630000001E-3</v>
      </c>
      <c r="Q22" s="49"/>
      <c r="R22" s="50">
        <v>7.9504716840000003E-2</v>
      </c>
      <c r="S22" s="49"/>
      <c r="T22" s="50">
        <v>0.19739385330000001</v>
      </c>
      <c r="U22" s="49"/>
      <c r="V22" s="50">
        <v>84.938212870000001</v>
      </c>
      <c r="W22" s="49"/>
      <c r="X22" s="50">
        <v>82.909824040000004</v>
      </c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50">
        <v>-7.8766666670000003</v>
      </c>
      <c r="AO22" s="50">
        <v>5.7735026919999996E-3</v>
      </c>
      <c r="AP22" s="49"/>
      <c r="AQ22" s="50">
        <v>-6.6666666670000003E-3</v>
      </c>
      <c r="AR22" s="50">
        <v>0.15631165450000001</v>
      </c>
      <c r="AS22" s="49"/>
      <c r="AT22" s="50">
        <v>30.91333333</v>
      </c>
      <c r="AU22" s="50">
        <v>0.15631165450000001</v>
      </c>
      <c r="AV22" s="49"/>
      <c r="AW22" s="50">
        <v>0.623</v>
      </c>
      <c r="AX22" s="50">
        <v>6.2449979979999999E-3</v>
      </c>
      <c r="AY22" s="51">
        <v>1.081665383E-2</v>
      </c>
      <c r="AZ22" s="51">
        <v>2.109247496E-2</v>
      </c>
      <c r="BA22" s="49"/>
      <c r="BB22" s="50">
        <v>0.2283333333</v>
      </c>
      <c r="BC22" s="50">
        <v>3.88858729E-2</v>
      </c>
      <c r="BD22" s="49"/>
      <c r="BE22" s="49"/>
      <c r="BF22" s="49"/>
      <c r="BG22" s="50">
        <v>15.625373379999999</v>
      </c>
      <c r="BH22" s="50">
        <v>1.9358155399999999</v>
      </c>
      <c r="BI22" s="49"/>
      <c r="BJ22" s="50">
        <v>1.0312610230000001</v>
      </c>
      <c r="BK22" s="49"/>
      <c r="BL22" s="50">
        <f>AVERAGE(BK23:BK25)</f>
        <v>-0.3367523591333334</v>
      </c>
      <c r="BM22" s="50">
        <f>STDEV(BK23:BK25)</f>
        <v>0.83955524418945193</v>
      </c>
    </row>
    <row r="23" spans="1:65" x14ac:dyDescent="0.2">
      <c r="A23" s="47" t="s">
        <v>67</v>
      </c>
      <c r="B23" s="53">
        <v>43558.945833333331</v>
      </c>
      <c r="C23" s="47" t="s">
        <v>69</v>
      </c>
      <c r="D23" s="47" t="s">
        <v>490</v>
      </c>
      <c r="E23" s="47" t="s">
        <v>70</v>
      </c>
      <c r="F23" s="53">
        <v>43540.749305555553</v>
      </c>
      <c r="G23" s="47">
        <v>-8.01</v>
      </c>
      <c r="H23" s="47">
        <v>0</v>
      </c>
      <c r="I23" s="47">
        <v>8.23</v>
      </c>
      <c r="J23" s="47">
        <v>0</v>
      </c>
      <c r="K23" s="47">
        <v>39.4</v>
      </c>
      <c r="L23" s="47">
        <v>0</v>
      </c>
      <c r="M23" s="47">
        <v>9.64</v>
      </c>
      <c r="N23" s="47">
        <v>1.4E-2</v>
      </c>
      <c r="O23" s="47">
        <v>-0.40400000000000003</v>
      </c>
      <c r="P23" s="47">
        <v>1.2999999999999999E-2</v>
      </c>
      <c r="Q23" s="47">
        <v>27.178999999999998</v>
      </c>
      <c r="R23" s="47">
        <v>5.6000000000000001E-2</v>
      </c>
      <c r="S23" s="47">
        <v>-1.0880000000000001</v>
      </c>
      <c r="T23" s="47">
        <v>5.1999999999999998E-2</v>
      </c>
      <c r="U23" s="47">
        <v>22.193999999999999</v>
      </c>
      <c r="V23" s="47">
        <v>2.9039999999999999</v>
      </c>
      <c r="W23" s="47">
        <v>-1.62</v>
      </c>
      <c r="X23" s="47">
        <v>2.8370000000000002</v>
      </c>
      <c r="Y23" s="47">
        <v>-9.2634073519999999E-3</v>
      </c>
      <c r="Z23" s="47" t="s">
        <v>491</v>
      </c>
      <c r="AA23" s="47">
        <v>-0.314</v>
      </c>
      <c r="AB23" s="47">
        <v>1.018432193</v>
      </c>
      <c r="AC23" s="47">
        <v>0.93140773170000002</v>
      </c>
      <c r="AD23" s="47">
        <v>0.61099999999999999</v>
      </c>
      <c r="AE23" s="47">
        <v>0</v>
      </c>
      <c r="AF23" s="47">
        <v>-3.0354828850000001E-2</v>
      </c>
      <c r="AG23" s="47" t="s">
        <v>492</v>
      </c>
      <c r="AH23" s="47">
        <v>-0.26300000000000001</v>
      </c>
      <c r="AI23" s="47">
        <v>0.57726887549999994</v>
      </c>
      <c r="AJ23" s="47">
        <v>0.33767599149999999</v>
      </c>
      <c r="AK23" s="47">
        <v>0.186</v>
      </c>
      <c r="AL23" s="47">
        <v>0</v>
      </c>
      <c r="AM23" s="47">
        <v>-7.88</v>
      </c>
      <c r="AN23" s="47"/>
      <c r="AO23" s="47"/>
      <c r="AP23" s="47">
        <v>0.16</v>
      </c>
      <c r="AQ23" s="47"/>
      <c r="AR23" s="47"/>
      <c r="AS23" s="47">
        <v>31.08</v>
      </c>
      <c r="AT23" s="47"/>
      <c r="AU23" s="47"/>
      <c r="AV23" s="47">
        <v>0.61099999999999999</v>
      </c>
      <c r="AW23" s="47"/>
      <c r="AX23" s="47"/>
      <c r="AY23" s="47"/>
      <c r="AZ23" s="47"/>
      <c r="BA23" s="47">
        <v>0.186</v>
      </c>
      <c r="BB23" s="47"/>
      <c r="BC23" s="47"/>
      <c r="BD23" s="47"/>
      <c r="BE23" s="47"/>
      <c r="BF23" s="47">
        <v>19.352969000000002</v>
      </c>
      <c r="BG23" s="47"/>
      <c r="BH23" s="47"/>
      <c r="BI23" s="47">
        <v>1.030441741</v>
      </c>
      <c r="BJ23" s="47"/>
      <c r="BK23" s="47">
        <v>0.61940368599999995</v>
      </c>
      <c r="BL23" s="47"/>
      <c r="BM23" s="47"/>
    </row>
    <row r="24" spans="1:65" x14ac:dyDescent="0.2">
      <c r="A24" s="47" t="s">
        <v>81</v>
      </c>
      <c r="B24" s="53">
        <v>43577.972916666666</v>
      </c>
      <c r="C24" s="47" t="s">
        <v>69</v>
      </c>
      <c r="D24" s="47" t="s">
        <v>490</v>
      </c>
      <c r="E24" s="47" t="s">
        <v>70</v>
      </c>
      <c r="F24" s="53">
        <v>43540.749305555553</v>
      </c>
      <c r="G24" s="47">
        <v>-8.0299999999999994</v>
      </c>
      <c r="H24" s="47">
        <v>0</v>
      </c>
      <c r="I24" s="47">
        <v>7.97</v>
      </c>
      <c r="J24" s="47">
        <v>0</v>
      </c>
      <c r="K24" s="47">
        <v>39.130000000000003</v>
      </c>
      <c r="L24" s="47">
        <v>0</v>
      </c>
      <c r="M24" s="47">
        <v>9.3789999999999996</v>
      </c>
      <c r="N24" s="47">
        <v>1.0999999999999999E-2</v>
      </c>
      <c r="O24" s="47">
        <v>-0.378</v>
      </c>
      <c r="P24" s="47">
        <v>1.0999999999999999E-2</v>
      </c>
      <c r="Q24" s="47">
        <v>27.283999999999999</v>
      </c>
      <c r="R24" s="47">
        <v>3.7999999999999999E-2</v>
      </c>
      <c r="S24" s="47">
        <v>-0.46600000000000003</v>
      </c>
      <c r="T24" s="47">
        <v>3.6999999999999998E-2</v>
      </c>
      <c r="U24" s="47">
        <v>-97.597999999999999</v>
      </c>
      <c r="V24" s="47">
        <v>6.6050000000000004</v>
      </c>
      <c r="W24" s="47">
        <v>-118.145</v>
      </c>
      <c r="X24" s="47">
        <v>6.4560000000000004</v>
      </c>
      <c r="Y24" s="47">
        <v>-8.1076035159999994E-3</v>
      </c>
      <c r="Z24" s="47" t="s">
        <v>493</v>
      </c>
      <c r="AA24" s="47">
        <v>-0.30199999999999999</v>
      </c>
      <c r="AB24" s="47">
        <v>1.0404372690000001</v>
      </c>
      <c r="AC24" s="47">
        <v>0.94076220629999996</v>
      </c>
      <c r="AD24" s="47">
        <v>0.626</v>
      </c>
      <c r="AE24" s="47">
        <v>0</v>
      </c>
      <c r="AF24" s="47">
        <v>-1.7854178790000001E-2</v>
      </c>
      <c r="AG24" s="47" t="s">
        <v>494</v>
      </c>
      <c r="AH24" s="47">
        <v>2.1000000000000001E-2</v>
      </c>
      <c r="AI24" s="47">
        <v>0.81800994279999995</v>
      </c>
      <c r="AJ24" s="47">
        <v>0.2888038664</v>
      </c>
      <c r="AK24" s="47">
        <v>0.30599999999999999</v>
      </c>
      <c r="AL24" s="47">
        <v>0</v>
      </c>
      <c r="AM24" s="47">
        <v>-7.88</v>
      </c>
      <c r="AN24" s="47"/>
      <c r="AO24" s="47"/>
      <c r="AP24" s="47">
        <v>-0.15</v>
      </c>
      <c r="AQ24" s="47"/>
      <c r="AR24" s="47"/>
      <c r="AS24" s="47">
        <v>30.77</v>
      </c>
      <c r="AT24" s="47"/>
      <c r="AU24" s="47"/>
      <c r="AV24" s="47">
        <v>0.626</v>
      </c>
      <c r="AW24" s="47"/>
      <c r="AX24" s="47"/>
      <c r="AY24" s="47"/>
      <c r="AZ24" s="47"/>
      <c r="BA24" s="47">
        <v>0.30599999999999999</v>
      </c>
      <c r="BB24" s="47"/>
      <c r="BC24" s="47"/>
      <c r="BD24" s="47"/>
      <c r="BE24" s="47"/>
      <c r="BF24" s="47">
        <v>14.667621159999999</v>
      </c>
      <c r="BG24" s="47"/>
      <c r="BH24" s="47"/>
      <c r="BI24" s="47">
        <v>1.031467632</v>
      </c>
      <c r="BJ24" s="47"/>
      <c r="BK24" s="47">
        <v>-0.67634853790000005</v>
      </c>
      <c r="BL24" s="47"/>
      <c r="BM24" s="47"/>
    </row>
    <row r="25" spans="1:65" x14ac:dyDescent="0.2">
      <c r="A25" s="47" t="s">
        <v>89</v>
      </c>
      <c r="B25" s="53">
        <v>43598.803472222222</v>
      </c>
      <c r="C25" s="47" t="s">
        <v>69</v>
      </c>
      <c r="D25" s="47" t="s">
        <v>490</v>
      </c>
      <c r="E25" s="47" t="s">
        <v>70</v>
      </c>
      <c r="F25" s="53">
        <v>43540.749305555553</v>
      </c>
      <c r="G25" s="47">
        <v>-8.0399999999999991</v>
      </c>
      <c r="H25" s="47">
        <v>0.02</v>
      </c>
      <c r="I25" s="47">
        <v>8.08</v>
      </c>
      <c r="J25" s="47">
        <v>0.05</v>
      </c>
      <c r="K25" s="47">
        <v>39.25</v>
      </c>
      <c r="L25" s="47">
        <v>0.05</v>
      </c>
      <c r="M25" s="47">
        <v>9.4830000000000005</v>
      </c>
      <c r="N25" s="47">
        <v>6.9000000000000006E-2</v>
      </c>
      <c r="O25" s="47">
        <v>-0.38600000000000001</v>
      </c>
      <c r="P25" s="47">
        <v>1.4E-2</v>
      </c>
      <c r="Q25" s="47">
        <v>27.452000000000002</v>
      </c>
      <c r="R25" s="47">
        <v>7.6999999999999999E-2</v>
      </c>
      <c r="S25" s="47">
        <v>-0.53100000000000003</v>
      </c>
      <c r="T25" s="47">
        <v>6.5000000000000002E-2</v>
      </c>
      <c r="U25" s="47">
        <v>-270.44200000000001</v>
      </c>
      <c r="V25" s="47">
        <v>11.544</v>
      </c>
      <c r="W25" s="47">
        <v>-287.221</v>
      </c>
      <c r="X25" s="47">
        <v>11.226000000000001</v>
      </c>
      <c r="Y25" s="47">
        <v>-7.9164005040000002E-3</v>
      </c>
      <c r="Z25" s="47" t="s">
        <v>495</v>
      </c>
      <c r="AA25" s="47">
        <v>-0.311</v>
      </c>
      <c r="AB25" s="47">
        <v>1.0151460409999999</v>
      </c>
      <c r="AC25" s="47">
        <v>0.94715317700000001</v>
      </c>
      <c r="AD25" s="47">
        <v>0.63200000000000001</v>
      </c>
      <c r="AE25" s="47">
        <v>0</v>
      </c>
      <c r="AF25" s="47">
        <v>-1.6602314470000001E-2</v>
      </c>
      <c r="AG25" s="47" t="s">
        <v>496</v>
      </c>
      <c r="AH25" s="47">
        <v>-7.4999999999999997E-2</v>
      </c>
      <c r="AI25" s="47">
        <v>1.253503485</v>
      </c>
      <c r="AJ25" s="47">
        <v>0.2865840127</v>
      </c>
      <c r="AK25" s="47">
        <v>0.193</v>
      </c>
      <c r="AL25" s="47">
        <v>0</v>
      </c>
      <c r="AM25" s="47">
        <v>-7.87</v>
      </c>
      <c r="AN25" s="47"/>
      <c r="AO25" s="47"/>
      <c r="AP25" s="47">
        <v>-0.03</v>
      </c>
      <c r="AQ25" s="47"/>
      <c r="AR25" s="47"/>
      <c r="AS25" s="47">
        <v>30.89</v>
      </c>
      <c r="AT25" s="47"/>
      <c r="AU25" s="47"/>
      <c r="AV25" s="47">
        <v>0.63200000000000001</v>
      </c>
      <c r="AW25" s="47"/>
      <c r="AX25" s="47"/>
      <c r="AY25" s="47"/>
      <c r="AZ25" s="47"/>
      <c r="BA25" s="47">
        <v>0.193</v>
      </c>
      <c r="BB25" s="47"/>
      <c r="BC25" s="47"/>
      <c r="BD25" s="47"/>
      <c r="BE25" s="47"/>
      <c r="BF25" s="47">
        <v>12.85552998</v>
      </c>
      <c r="BG25" s="47"/>
      <c r="BH25" s="47"/>
      <c r="BI25" s="47">
        <v>1.0318736980000001</v>
      </c>
      <c r="BJ25" s="47"/>
      <c r="BK25" s="47">
        <v>-0.95331222550000005</v>
      </c>
      <c r="BL25" s="47"/>
      <c r="BM25" s="47"/>
    </row>
    <row r="26" spans="1:65" x14ac:dyDescent="0.2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</row>
    <row r="27" spans="1:65" s="52" customFormat="1" x14ac:dyDescent="0.2">
      <c r="A27" s="50" t="s">
        <v>497</v>
      </c>
      <c r="B27" s="49"/>
      <c r="C27" s="49"/>
      <c r="D27" s="49"/>
      <c r="E27" s="49"/>
      <c r="F27" s="49"/>
      <c r="G27" s="49"/>
      <c r="H27" s="50">
        <v>6.6666666670000003E-3</v>
      </c>
      <c r="I27" s="49"/>
      <c r="J27" s="50">
        <v>1.7320508080000001E-2</v>
      </c>
      <c r="K27" s="49"/>
      <c r="L27" s="50">
        <v>1.7320508080000001E-2</v>
      </c>
      <c r="M27" s="49"/>
      <c r="N27" s="50">
        <v>2.69340759E-2</v>
      </c>
      <c r="O27" s="49"/>
      <c r="P27" s="50">
        <v>4.8419463489999997E-3</v>
      </c>
      <c r="Q27" s="49"/>
      <c r="R27" s="50">
        <v>8.8666666670000005E-2</v>
      </c>
      <c r="S27" s="49"/>
      <c r="T27" s="50">
        <v>5.6500737459999999E-2</v>
      </c>
      <c r="U27" s="49"/>
      <c r="V27" s="50">
        <v>308.14896900000002</v>
      </c>
      <c r="W27" s="49"/>
      <c r="X27" s="50">
        <v>301.92509949999999</v>
      </c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50">
        <v>-9.5</v>
      </c>
      <c r="AO27" s="50">
        <v>1.7320508080000001E-2</v>
      </c>
      <c r="AP27" s="49"/>
      <c r="AQ27" s="50">
        <v>-0.6733333333</v>
      </c>
      <c r="AR27" s="50">
        <v>1.527525232E-2</v>
      </c>
      <c r="AS27" s="49"/>
      <c r="AT27" s="50">
        <v>30.22666667</v>
      </c>
      <c r="AU27" s="50">
        <v>1.527525232E-2</v>
      </c>
      <c r="AV27" s="49"/>
      <c r="AW27" s="50">
        <v>0.59266666670000001</v>
      </c>
      <c r="AX27" s="50">
        <v>4.6666666670000002E-3</v>
      </c>
      <c r="AY27" s="51">
        <v>8.0829037689999998E-3</v>
      </c>
      <c r="AZ27" s="51">
        <v>1.576166235E-2</v>
      </c>
      <c r="BA27" s="49"/>
      <c r="BB27" s="50">
        <v>0.2343333333</v>
      </c>
      <c r="BC27" s="50">
        <v>5.2663502010000002E-2</v>
      </c>
      <c r="BD27" s="49"/>
      <c r="BE27" s="49"/>
      <c r="BF27" s="49"/>
      <c r="BG27" s="50">
        <v>25.428181210000002</v>
      </c>
      <c r="BH27" s="50">
        <v>1.5937098700000001</v>
      </c>
      <c r="BI27" s="49"/>
      <c r="BJ27" s="50">
        <v>1.0291645119999999</v>
      </c>
      <c r="BK27" s="49"/>
      <c r="BL27" s="50">
        <f>AVERAGE(BK28:BK30)</f>
        <v>1.0322537269999998</v>
      </c>
      <c r="BM27" s="50">
        <f>STDEV(BK28:BK30)</f>
        <v>0.53817355285822255</v>
      </c>
    </row>
    <row r="28" spans="1:65" x14ac:dyDescent="0.2">
      <c r="A28" s="47" t="s">
        <v>67</v>
      </c>
      <c r="B28" s="53">
        <v>43584.72152777778</v>
      </c>
      <c r="C28" s="47" t="s">
        <v>69</v>
      </c>
      <c r="D28" s="47" t="s">
        <v>497</v>
      </c>
      <c r="E28" s="47" t="s">
        <v>70</v>
      </c>
      <c r="F28" s="53">
        <v>43540.749305555553</v>
      </c>
      <c r="G28" s="47">
        <v>-9.64</v>
      </c>
      <c r="H28" s="47">
        <v>0</v>
      </c>
      <c r="I28" s="47">
        <v>7.48</v>
      </c>
      <c r="J28" s="47">
        <v>0</v>
      </c>
      <c r="K28" s="47">
        <v>38.630000000000003</v>
      </c>
      <c r="L28" s="47">
        <v>0</v>
      </c>
      <c r="M28" s="47">
        <v>7.2889999999999997</v>
      </c>
      <c r="N28" s="47">
        <v>1.4E-2</v>
      </c>
      <c r="O28" s="47">
        <v>-0.38700000000000001</v>
      </c>
      <c r="P28" s="47">
        <v>1.4E-2</v>
      </c>
      <c r="Q28" s="47">
        <v>26.295000000000002</v>
      </c>
      <c r="R28" s="47">
        <v>4.3999999999999997E-2</v>
      </c>
      <c r="S28" s="47">
        <v>-0.44500000000000001</v>
      </c>
      <c r="T28" s="47">
        <v>4.2999999999999997E-2</v>
      </c>
      <c r="U28" s="47">
        <v>-126.706</v>
      </c>
      <c r="V28" s="47">
        <v>4.58</v>
      </c>
      <c r="W28" s="47">
        <v>-144.369</v>
      </c>
      <c r="X28" s="47">
        <v>4.4889999999999999</v>
      </c>
      <c r="Y28" s="47">
        <v>-8.1143411040000002E-3</v>
      </c>
      <c r="Z28" s="47" t="s">
        <v>498</v>
      </c>
      <c r="AA28" s="47">
        <v>-0.32800000000000001</v>
      </c>
      <c r="AB28" s="47">
        <v>1.024996595</v>
      </c>
      <c r="AC28" s="47">
        <v>0.93571346470000005</v>
      </c>
      <c r="AD28" s="47">
        <v>0.6</v>
      </c>
      <c r="AE28" s="47">
        <v>0</v>
      </c>
      <c r="AF28" s="47">
        <v>-1.8418615070000002E-2</v>
      </c>
      <c r="AG28" s="47" t="s">
        <v>499</v>
      </c>
      <c r="AH28" s="47">
        <v>3.9E-2</v>
      </c>
      <c r="AI28" s="47">
        <v>0.86305604349999998</v>
      </c>
      <c r="AJ28" s="47">
        <v>0.2650565882</v>
      </c>
      <c r="AK28" s="47">
        <v>0.29899999999999999</v>
      </c>
      <c r="AL28" s="47">
        <v>0</v>
      </c>
      <c r="AM28" s="47">
        <v>-9.49</v>
      </c>
      <c r="AN28" s="47"/>
      <c r="AO28" s="47"/>
      <c r="AP28" s="47">
        <v>-0.66</v>
      </c>
      <c r="AQ28" s="47"/>
      <c r="AR28" s="47"/>
      <c r="AS28" s="47">
        <v>30.24</v>
      </c>
      <c r="AT28" s="47"/>
      <c r="AU28" s="47"/>
      <c r="AV28" s="47">
        <v>0.6</v>
      </c>
      <c r="AW28" s="47"/>
      <c r="AX28" s="47"/>
      <c r="AY28" s="47"/>
      <c r="AZ28" s="47"/>
      <c r="BA28" s="47">
        <v>0.29899999999999999</v>
      </c>
      <c r="BB28" s="47"/>
      <c r="BC28" s="47"/>
      <c r="BD28" s="47"/>
      <c r="BE28" s="47"/>
      <c r="BF28" s="47">
        <v>22.938097419999998</v>
      </c>
      <c r="BG28" s="47"/>
      <c r="BH28" s="47"/>
      <c r="BI28" s="47">
        <v>1.0296793390000001</v>
      </c>
      <c r="BJ28" s="47"/>
      <c r="BK28" s="47">
        <v>0.5445004846</v>
      </c>
      <c r="BL28" s="47"/>
      <c r="BM28" s="47"/>
    </row>
    <row r="29" spans="1:65" x14ac:dyDescent="0.2">
      <c r="A29" s="47" t="s">
        <v>81</v>
      </c>
      <c r="B29" s="53">
        <v>43601.81527777778</v>
      </c>
      <c r="C29" s="47" t="s">
        <v>69</v>
      </c>
      <c r="D29" s="47" t="s">
        <v>497</v>
      </c>
      <c r="E29" s="47" t="s">
        <v>70</v>
      </c>
      <c r="F29" s="53">
        <v>43540.749305555553</v>
      </c>
      <c r="G29" s="47">
        <v>-9.64</v>
      </c>
      <c r="H29" s="47">
        <v>0</v>
      </c>
      <c r="I29" s="47">
        <v>7.45</v>
      </c>
      <c r="J29" s="47">
        <v>0</v>
      </c>
      <c r="K29" s="47">
        <v>38.6</v>
      </c>
      <c r="L29" s="47">
        <v>0</v>
      </c>
      <c r="M29" s="47">
        <v>7.2489999999999997</v>
      </c>
      <c r="N29" s="47">
        <v>1.7000000000000001E-2</v>
      </c>
      <c r="O29" s="47">
        <v>-0.40200000000000002</v>
      </c>
      <c r="P29" s="47">
        <v>1.7999999999999999E-2</v>
      </c>
      <c r="Q29" s="47">
        <v>26.225000000000001</v>
      </c>
      <c r="R29" s="47">
        <v>6.9000000000000006E-2</v>
      </c>
      <c r="S29" s="47">
        <v>-0.47099999999999997</v>
      </c>
      <c r="T29" s="47">
        <v>6.7000000000000004E-2</v>
      </c>
      <c r="U29" s="47">
        <v>-177.976</v>
      </c>
      <c r="V29" s="47">
        <v>16.187000000000001</v>
      </c>
      <c r="W29" s="47">
        <v>-194.566</v>
      </c>
      <c r="X29" s="47">
        <v>15.86</v>
      </c>
      <c r="Y29" s="47">
        <v>-7.7130214669999999E-3</v>
      </c>
      <c r="Z29" s="47" t="s">
        <v>500</v>
      </c>
      <c r="AA29" s="47">
        <v>-0.34699999999999998</v>
      </c>
      <c r="AB29" s="47">
        <v>1.009374684</v>
      </c>
      <c r="AC29" s="47">
        <v>0.94397866809999997</v>
      </c>
      <c r="AD29" s="47">
        <v>0.59399999999999997</v>
      </c>
      <c r="AE29" s="47">
        <v>0</v>
      </c>
      <c r="AF29" s="47">
        <v>-1.817730695E-2</v>
      </c>
      <c r="AG29" s="47" t="s">
        <v>501</v>
      </c>
      <c r="AH29" s="47">
        <v>6.0000000000000001E-3</v>
      </c>
      <c r="AI29" s="47">
        <v>1.043873966</v>
      </c>
      <c r="AJ29" s="47">
        <v>0.2687354609</v>
      </c>
      <c r="AK29" s="47">
        <v>0.27400000000000002</v>
      </c>
      <c r="AL29" s="47">
        <v>0</v>
      </c>
      <c r="AM29" s="47">
        <v>-9.49</v>
      </c>
      <c r="AN29" s="47"/>
      <c r="AO29" s="47"/>
      <c r="AP29" s="47">
        <v>-0.67</v>
      </c>
      <c r="AQ29" s="47"/>
      <c r="AR29" s="47"/>
      <c r="AS29" s="47">
        <v>30.23</v>
      </c>
      <c r="AT29" s="47"/>
      <c r="AU29" s="47"/>
      <c r="AV29" s="47">
        <v>0.59399999999999997</v>
      </c>
      <c r="AW29" s="47"/>
      <c r="AX29" s="47"/>
      <c r="AY29" s="47"/>
      <c r="AZ29" s="47"/>
      <c r="BA29" s="47">
        <v>0.27400000000000002</v>
      </c>
      <c r="BB29" s="47"/>
      <c r="BC29" s="47"/>
      <c r="BD29" s="47"/>
      <c r="BE29" s="47"/>
      <c r="BF29" s="47">
        <v>24.950044219999999</v>
      </c>
      <c r="BG29" s="47"/>
      <c r="BH29" s="47"/>
      <c r="BI29" s="47">
        <v>1.0292597590000001</v>
      </c>
      <c r="BJ29" s="47"/>
      <c r="BK29" s="47">
        <v>0.94265867940000003</v>
      </c>
      <c r="BL29" s="47"/>
      <c r="BM29" s="47"/>
    </row>
    <row r="30" spans="1:65" x14ac:dyDescent="0.2">
      <c r="A30" s="47" t="s">
        <v>89</v>
      </c>
      <c r="B30" s="53">
        <v>43606.6875</v>
      </c>
      <c r="C30" s="47" t="s">
        <v>69</v>
      </c>
      <c r="D30" s="47" t="s">
        <v>497</v>
      </c>
      <c r="E30" s="47" t="s">
        <v>70</v>
      </c>
      <c r="F30" s="53">
        <v>43540.749305555553</v>
      </c>
      <c r="G30" s="47">
        <v>-9.66</v>
      </c>
      <c r="H30" s="47">
        <v>0</v>
      </c>
      <c r="I30" s="47">
        <v>7.42</v>
      </c>
      <c r="J30" s="47">
        <v>0</v>
      </c>
      <c r="K30" s="47">
        <v>38.57</v>
      </c>
      <c r="L30" s="47">
        <v>0</v>
      </c>
      <c r="M30" s="47">
        <v>7.1959999999999997</v>
      </c>
      <c r="N30" s="47">
        <v>1.7999999999999999E-2</v>
      </c>
      <c r="O30" s="47">
        <v>-0.40100000000000002</v>
      </c>
      <c r="P30" s="47">
        <v>1.6E-2</v>
      </c>
      <c r="Q30" s="47">
        <v>26.001000000000001</v>
      </c>
      <c r="R30" s="47">
        <v>6.9000000000000006E-2</v>
      </c>
      <c r="S30" s="47">
        <v>-0.626</v>
      </c>
      <c r="T30" s="47">
        <v>6.6000000000000003E-2</v>
      </c>
      <c r="U30" s="47">
        <v>-1075.721</v>
      </c>
      <c r="V30" s="47">
        <v>81.87</v>
      </c>
      <c r="W30" s="47">
        <v>-1074.1990000000001</v>
      </c>
      <c r="X30" s="47">
        <v>80.224000000000004</v>
      </c>
      <c r="Y30" s="47">
        <v>-7.6093157110000004E-3</v>
      </c>
      <c r="Z30" s="47" t="s">
        <v>502</v>
      </c>
      <c r="AA30" s="47">
        <v>-0.34599999999999997</v>
      </c>
      <c r="AB30" s="47">
        <v>1.0130669130000001</v>
      </c>
      <c r="AC30" s="47">
        <v>0.93451564580000002</v>
      </c>
      <c r="AD30" s="47">
        <v>0.58399999999999996</v>
      </c>
      <c r="AE30" s="47">
        <v>0</v>
      </c>
      <c r="AF30" s="47">
        <v>-1.6849927229999999E-2</v>
      </c>
      <c r="AG30" s="47" t="s">
        <v>503</v>
      </c>
      <c r="AH30" s="47">
        <v>-0.188</v>
      </c>
      <c r="AI30" s="47">
        <v>0.74193242110000002</v>
      </c>
      <c r="AJ30" s="47">
        <v>0.26939446430000002</v>
      </c>
      <c r="AK30" s="47">
        <v>0.13</v>
      </c>
      <c r="AL30" s="47">
        <v>0</v>
      </c>
      <c r="AM30" s="47">
        <v>-9.52</v>
      </c>
      <c r="AN30" s="47"/>
      <c r="AO30" s="47"/>
      <c r="AP30" s="47">
        <v>-0.69</v>
      </c>
      <c r="AQ30" s="47"/>
      <c r="AR30" s="47"/>
      <c r="AS30" s="47">
        <v>30.21</v>
      </c>
      <c r="AT30" s="47"/>
      <c r="AU30" s="47"/>
      <c r="AV30" s="47">
        <v>0.58399999999999996</v>
      </c>
      <c r="AW30" s="47"/>
      <c r="AX30" s="47"/>
      <c r="AY30" s="47"/>
      <c r="AZ30" s="47"/>
      <c r="BA30" s="47">
        <v>0.13</v>
      </c>
      <c r="BB30" s="47"/>
      <c r="BC30" s="47"/>
      <c r="BD30" s="47"/>
      <c r="BE30" s="47"/>
      <c r="BF30" s="47">
        <v>28.396401999999998</v>
      </c>
      <c r="BG30" s="47"/>
      <c r="BH30" s="47"/>
      <c r="BI30" s="47">
        <v>1.0285544369999999</v>
      </c>
      <c r="BJ30" s="47"/>
      <c r="BK30" s="47">
        <v>1.6096020170000001</v>
      </c>
      <c r="BL30" s="47"/>
      <c r="BM30" s="47"/>
    </row>
    <row r="31" spans="1:65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</row>
    <row r="32" spans="1:65" s="52" customFormat="1" x14ac:dyDescent="0.2">
      <c r="A32" s="50" t="s">
        <v>504</v>
      </c>
      <c r="B32" s="49"/>
      <c r="C32" s="49"/>
      <c r="D32" s="49"/>
      <c r="E32" s="49"/>
      <c r="F32" s="49"/>
      <c r="G32" s="49"/>
      <c r="H32" s="50">
        <v>3.3333333329999999E-3</v>
      </c>
      <c r="I32" s="49"/>
      <c r="J32" s="50">
        <v>1.2018504249999999E-2</v>
      </c>
      <c r="K32" s="49"/>
      <c r="L32" s="50">
        <v>1.527525232E-2</v>
      </c>
      <c r="M32" s="49"/>
      <c r="N32" s="50">
        <v>1.44222051E-2</v>
      </c>
      <c r="O32" s="49"/>
      <c r="P32" s="50">
        <v>2.962731472E-3</v>
      </c>
      <c r="Q32" s="49"/>
      <c r="R32" s="50">
        <v>3.831593808E-2</v>
      </c>
      <c r="S32" s="49"/>
      <c r="T32" s="50">
        <v>6.1607178509999999E-2</v>
      </c>
      <c r="U32" s="49"/>
      <c r="V32" s="50">
        <v>512.46303990000001</v>
      </c>
      <c r="W32" s="49"/>
      <c r="X32" s="50">
        <v>501.94560480000001</v>
      </c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50">
        <v>-10.07</v>
      </c>
      <c r="AO32" s="50">
        <v>0.01</v>
      </c>
      <c r="AP32" s="49"/>
      <c r="AQ32" s="50">
        <v>-0.2</v>
      </c>
      <c r="AR32" s="50">
        <v>3.4641016150000002E-2</v>
      </c>
      <c r="AS32" s="49"/>
      <c r="AT32" s="50">
        <v>30.71</v>
      </c>
      <c r="AU32" s="50">
        <v>3.4641016150000002E-2</v>
      </c>
      <c r="AV32" s="49"/>
      <c r="AW32" s="50">
        <v>0.59966666670000002</v>
      </c>
      <c r="AX32" s="50">
        <v>8.8191710370000005E-4</v>
      </c>
      <c r="AY32" s="51">
        <v>1.527525232E-3</v>
      </c>
      <c r="AZ32" s="51">
        <v>2.9786742019999998E-3</v>
      </c>
      <c r="BA32" s="49"/>
      <c r="BB32" s="50">
        <v>0.15566666670000001</v>
      </c>
      <c r="BC32" s="50">
        <v>6.6061419230000001E-2</v>
      </c>
      <c r="BD32" s="49"/>
      <c r="BE32" s="49"/>
      <c r="BF32" s="49"/>
      <c r="BG32" s="50">
        <v>23.049675959999998</v>
      </c>
      <c r="BH32" s="50">
        <v>0.29330694010000002</v>
      </c>
      <c r="BI32" s="49"/>
      <c r="BJ32" s="50">
        <v>1.029656042</v>
      </c>
      <c r="BK32" s="49"/>
      <c r="BL32" s="50">
        <f>AVERAGE(BK33:BK35)</f>
        <v>1.0236072056333334</v>
      </c>
      <c r="BM32" s="50">
        <f>STDEV(BK33:BK35)</f>
        <v>7.2627284118814014E-2</v>
      </c>
    </row>
    <row r="33" spans="1:65" x14ac:dyDescent="0.2">
      <c r="A33" s="47" t="s">
        <v>67</v>
      </c>
      <c r="B33" s="53">
        <v>43584.806944444441</v>
      </c>
      <c r="C33" s="47" t="s">
        <v>69</v>
      </c>
      <c r="D33" s="47" t="s">
        <v>504</v>
      </c>
      <c r="E33" s="47" t="s">
        <v>70</v>
      </c>
      <c r="F33" s="53">
        <v>43540.749305555553</v>
      </c>
      <c r="G33" s="47">
        <v>-10.220000000000001</v>
      </c>
      <c r="H33" s="47">
        <v>0</v>
      </c>
      <c r="I33" s="47">
        <v>7.9</v>
      </c>
      <c r="J33" s="47">
        <v>0</v>
      </c>
      <c r="K33" s="47">
        <v>39.06</v>
      </c>
      <c r="L33" s="47">
        <v>0</v>
      </c>
      <c r="M33" s="47">
        <v>7.1479999999999997</v>
      </c>
      <c r="N33" s="47">
        <v>1.0999999999999999E-2</v>
      </c>
      <c r="O33" s="47">
        <v>-0.38800000000000001</v>
      </c>
      <c r="P33" s="47">
        <v>1.0999999999999999E-2</v>
      </c>
      <c r="Q33" s="47">
        <v>27.093</v>
      </c>
      <c r="R33" s="47">
        <v>7.9000000000000001E-2</v>
      </c>
      <c r="S33" s="47">
        <v>-0.5</v>
      </c>
      <c r="T33" s="47">
        <v>7.8E-2</v>
      </c>
      <c r="U33" s="47">
        <v>-142.125</v>
      </c>
      <c r="V33" s="47">
        <v>10.89</v>
      </c>
      <c r="W33" s="47">
        <v>-159.68700000000001</v>
      </c>
      <c r="X33" s="47">
        <v>10.667</v>
      </c>
      <c r="Y33" s="47">
        <v>-8.1143411040000002E-3</v>
      </c>
      <c r="Z33" s="47" t="s">
        <v>505</v>
      </c>
      <c r="AA33" s="47">
        <v>-0.33</v>
      </c>
      <c r="AB33" s="47">
        <v>1.024996595</v>
      </c>
      <c r="AC33" s="47">
        <v>0.93571346470000005</v>
      </c>
      <c r="AD33" s="47">
        <v>0.59799999999999998</v>
      </c>
      <c r="AE33" s="47">
        <v>0</v>
      </c>
      <c r="AF33" s="47">
        <v>-1.8418615070000002E-2</v>
      </c>
      <c r="AG33" s="47" t="s">
        <v>506</v>
      </c>
      <c r="AH33" s="47">
        <v>-1E-3</v>
      </c>
      <c r="AI33" s="47">
        <v>0.86305604349999998</v>
      </c>
      <c r="AJ33" s="47">
        <v>0.2650565882</v>
      </c>
      <c r="AK33" s="47">
        <v>0.26400000000000001</v>
      </c>
      <c r="AL33" s="47">
        <v>0</v>
      </c>
      <c r="AM33" s="47">
        <v>-10.07</v>
      </c>
      <c r="AN33" s="47"/>
      <c r="AO33" s="47"/>
      <c r="AP33" s="47">
        <v>-0.24</v>
      </c>
      <c r="AQ33" s="47"/>
      <c r="AR33" s="47"/>
      <c r="AS33" s="47">
        <v>30.67</v>
      </c>
      <c r="AT33" s="47"/>
      <c r="AU33" s="47"/>
      <c r="AV33" s="47">
        <v>0.59799999999999998</v>
      </c>
      <c r="AW33" s="47"/>
      <c r="AX33" s="47"/>
      <c r="AY33" s="47"/>
      <c r="AZ33" s="47"/>
      <c r="BA33" s="47">
        <v>0.26400000000000001</v>
      </c>
      <c r="BB33" s="47"/>
      <c r="BC33" s="47"/>
      <c r="BD33" s="47"/>
      <c r="BE33" s="47"/>
      <c r="BF33" s="47">
        <v>23.604213219999998</v>
      </c>
      <c r="BG33" s="47"/>
      <c r="BH33" s="47"/>
      <c r="BI33" s="47">
        <v>1.029539776</v>
      </c>
      <c r="BJ33" s="47"/>
      <c r="BK33" s="47">
        <v>1.0977957949999999</v>
      </c>
      <c r="BL33" s="47"/>
      <c r="BM33" s="47"/>
    </row>
    <row r="34" spans="1:65" x14ac:dyDescent="0.2">
      <c r="A34" s="47" t="s">
        <v>81</v>
      </c>
      <c r="B34" s="53">
        <v>43601.901388888888</v>
      </c>
      <c r="C34" s="47" t="s">
        <v>69</v>
      </c>
      <c r="D34" s="47" t="s">
        <v>504</v>
      </c>
      <c r="E34" s="47" t="s">
        <v>70</v>
      </c>
      <c r="F34" s="53">
        <v>43540.749305555553</v>
      </c>
      <c r="G34" s="47">
        <v>-10.210000000000001</v>
      </c>
      <c r="H34" s="47">
        <v>0</v>
      </c>
      <c r="I34" s="47">
        <v>7.94</v>
      </c>
      <c r="J34" s="47">
        <v>0</v>
      </c>
      <c r="K34" s="47">
        <v>39.11</v>
      </c>
      <c r="L34" s="47">
        <v>0</v>
      </c>
      <c r="M34" s="47">
        <v>7.1959999999999997</v>
      </c>
      <c r="N34" s="47">
        <v>1.4999999999999999E-2</v>
      </c>
      <c r="O34" s="47">
        <v>-0.39500000000000002</v>
      </c>
      <c r="P34" s="47">
        <v>1.4E-2</v>
      </c>
      <c r="Q34" s="47">
        <v>26.969000000000001</v>
      </c>
      <c r="R34" s="47">
        <v>5.8999999999999997E-2</v>
      </c>
      <c r="S34" s="47">
        <v>-0.71299999999999997</v>
      </c>
      <c r="T34" s="47">
        <v>5.6000000000000001E-2</v>
      </c>
      <c r="U34" s="47">
        <v>-358.40600000000001</v>
      </c>
      <c r="V34" s="47">
        <v>30.08</v>
      </c>
      <c r="W34" s="47">
        <v>-371.60199999999998</v>
      </c>
      <c r="X34" s="47">
        <v>29.463000000000001</v>
      </c>
      <c r="Y34" s="47">
        <v>-7.7130214669999999E-3</v>
      </c>
      <c r="Z34" s="47" t="s">
        <v>507</v>
      </c>
      <c r="AA34" s="47">
        <v>-0.33900000000000002</v>
      </c>
      <c r="AB34" s="47">
        <v>1.009374684</v>
      </c>
      <c r="AC34" s="47">
        <v>0.94397866809999997</v>
      </c>
      <c r="AD34" s="47">
        <v>0.60099999999999998</v>
      </c>
      <c r="AE34" s="47">
        <v>0</v>
      </c>
      <c r="AF34" s="47">
        <v>-1.817730695E-2</v>
      </c>
      <c r="AG34" s="47" t="s">
        <v>508</v>
      </c>
      <c r="AH34" s="47">
        <v>-0.223</v>
      </c>
      <c r="AI34" s="47">
        <v>1.043873966</v>
      </c>
      <c r="AJ34" s="47">
        <v>0.2687354609</v>
      </c>
      <c r="AK34" s="47">
        <v>3.5999999999999997E-2</v>
      </c>
      <c r="AL34" s="47">
        <v>0</v>
      </c>
      <c r="AM34" s="47">
        <v>-10.06</v>
      </c>
      <c r="AN34" s="47"/>
      <c r="AO34" s="47"/>
      <c r="AP34" s="47">
        <v>-0.18</v>
      </c>
      <c r="AQ34" s="47"/>
      <c r="AR34" s="47"/>
      <c r="AS34" s="47">
        <v>30.73</v>
      </c>
      <c r="AT34" s="47"/>
      <c r="AU34" s="47"/>
      <c r="AV34" s="47">
        <v>0.60099999999999998</v>
      </c>
      <c r="AW34" s="47"/>
      <c r="AX34" s="47"/>
      <c r="AY34" s="47"/>
      <c r="AZ34" s="47"/>
      <c r="BA34" s="47">
        <v>3.5999999999999997E-2</v>
      </c>
      <c r="BB34" s="47"/>
      <c r="BC34" s="47"/>
      <c r="BD34" s="47"/>
      <c r="BE34" s="47"/>
      <c r="BF34" s="47">
        <v>22.606717239999998</v>
      </c>
      <c r="BG34" s="47"/>
      <c r="BH34" s="47"/>
      <c r="BI34" s="47">
        <v>1.029749011</v>
      </c>
      <c r="BJ34" s="47"/>
      <c r="BK34" s="47">
        <v>0.95264903190000005</v>
      </c>
      <c r="BL34" s="47"/>
      <c r="BM34" s="47"/>
    </row>
    <row r="35" spans="1:65" x14ac:dyDescent="0.2">
      <c r="A35" s="47" t="s">
        <v>89</v>
      </c>
      <c r="B35" s="53">
        <v>43606.772916666669</v>
      </c>
      <c r="C35" s="47" t="s">
        <v>69</v>
      </c>
      <c r="D35" s="47" t="s">
        <v>504</v>
      </c>
      <c r="E35" s="47" t="s">
        <v>70</v>
      </c>
      <c r="F35" s="53">
        <v>43540.749305555553</v>
      </c>
      <c r="G35" s="47">
        <v>-10.220000000000001</v>
      </c>
      <c r="H35" s="47">
        <v>0</v>
      </c>
      <c r="I35" s="47">
        <v>7.93</v>
      </c>
      <c r="J35" s="47">
        <v>0</v>
      </c>
      <c r="K35" s="47">
        <v>39.1</v>
      </c>
      <c r="L35" s="47">
        <v>0</v>
      </c>
      <c r="M35" s="47">
        <v>7.1840000000000002</v>
      </c>
      <c r="N35" s="47">
        <v>1.2999999999999999E-2</v>
      </c>
      <c r="O35" s="47">
        <v>-0.38500000000000001</v>
      </c>
      <c r="P35" s="47">
        <v>1.2E-2</v>
      </c>
      <c r="Q35" s="47">
        <v>27.071999999999999</v>
      </c>
      <c r="R35" s="47">
        <v>4.2999999999999997E-2</v>
      </c>
      <c r="S35" s="47">
        <v>-0.59499999999999997</v>
      </c>
      <c r="T35" s="47">
        <v>4.1000000000000002E-2</v>
      </c>
      <c r="U35" s="47">
        <v>-1776.202</v>
      </c>
      <c r="V35" s="47">
        <v>350.32100000000003</v>
      </c>
      <c r="W35" s="47">
        <v>-1760.2560000000001</v>
      </c>
      <c r="X35" s="47">
        <v>343.13299999999998</v>
      </c>
      <c r="Y35" s="47">
        <v>-7.6093157110000004E-3</v>
      </c>
      <c r="Z35" s="47" t="s">
        <v>509</v>
      </c>
      <c r="AA35" s="47">
        <v>-0.33100000000000002</v>
      </c>
      <c r="AB35" s="47">
        <v>1.0130669130000001</v>
      </c>
      <c r="AC35" s="47">
        <v>0.93451564580000002</v>
      </c>
      <c r="AD35" s="47">
        <v>0.6</v>
      </c>
      <c r="AE35" s="47">
        <v>0</v>
      </c>
      <c r="AF35" s="47">
        <v>-1.6849927229999999E-2</v>
      </c>
      <c r="AG35" s="47" t="s">
        <v>510</v>
      </c>
      <c r="AH35" s="47">
        <v>-0.13800000000000001</v>
      </c>
      <c r="AI35" s="47">
        <v>0.74193242110000002</v>
      </c>
      <c r="AJ35" s="47">
        <v>0.26939446430000002</v>
      </c>
      <c r="AK35" s="47">
        <v>0.16700000000000001</v>
      </c>
      <c r="AL35" s="47">
        <v>0</v>
      </c>
      <c r="AM35" s="47">
        <v>-10.08</v>
      </c>
      <c r="AN35" s="47"/>
      <c r="AO35" s="47"/>
      <c r="AP35" s="47">
        <v>-0.18</v>
      </c>
      <c r="AQ35" s="47"/>
      <c r="AR35" s="47"/>
      <c r="AS35" s="47">
        <v>30.73</v>
      </c>
      <c r="AT35" s="47"/>
      <c r="AU35" s="47"/>
      <c r="AV35" s="47">
        <v>0.6</v>
      </c>
      <c r="AW35" s="47"/>
      <c r="AX35" s="47"/>
      <c r="AY35" s="47"/>
      <c r="AZ35" s="47"/>
      <c r="BA35" s="47">
        <v>0.16700000000000001</v>
      </c>
      <c r="BB35" s="47"/>
      <c r="BC35" s="47"/>
      <c r="BD35" s="47"/>
      <c r="BE35" s="47"/>
      <c r="BF35" s="47">
        <v>22.938097419999998</v>
      </c>
      <c r="BG35" s="47"/>
      <c r="BH35" s="47"/>
      <c r="BI35" s="47">
        <v>1.0296793390000001</v>
      </c>
      <c r="BJ35" s="47"/>
      <c r="BK35" s="47">
        <v>1.02037679</v>
      </c>
      <c r="BL35" s="47"/>
      <c r="BM35" s="47"/>
    </row>
    <row r="36" spans="1:65" x14ac:dyDescent="0.2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</row>
    <row r="37" spans="1:65" s="52" customFormat="1" x14ac:dyDescent="0.2">
      <c r="A37" s="50" t="s">
        <v>511</v>
      </c>
      <c r="B37" s="49"/>
      <c r="C37" s="49"/>
      <c r="D37" s="49"/>
      <c r="E37" s="49"/>
      <c r="F37" s="49"/>
      <c r="G37" s="49"/>
      <c r="H37" s="50">
        <v>1.2018504249999999E-2</v>
      </c>
      <c r="I37" s="49"/>
      <c r="J37" s="50">
        <v>1.452966315E-2</v>
      </c>
      <c r="K37" s="49"/>
      <c r="L37" s="50">
        <v>1.452966315E-2</v>
      </c>
      <c r="M37" s="49"/>
      <c r="N37" s="50">
        <v>1.377598555E-2</v>
      </c>
      <c r="O37" s="49"/>
      <c r="P37" s="50">
        <v>5.9254629450000004E-3</v>
      </c>
      <c r="Q37" s="49"/>
      <c r="R37" s="50">
        <v>2.5886504420000001E-2</v>
      </c>
      <c r="S37" s="49"/>
      <c r="T37" s="50">
        <v>2.5982900359999998E-2</v>
      </c>
      <c r="U37" s="49"/>
      <c r="V37" s="50">
        <v>309.39452340000003</v>
      </c>
      <c r="W37" s="49"/>
      <c r="X37" s="50">
        <v>302.43144599999999</v>
      </c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50">
        <v>-7.6033333330000001</v>
      </c>
      <c r="AO37" s="50">
        <v>1.527525232E-2</v>
      </c>
      <c r="AP37" s="49"/>
      <c r="AQ37" s="50">
        <v>-0.43333333330000001</v>
      </c>
      <c r="AR37" s="50">
        <v>2.081665999E-2</v>
      </c>
      <c r="AS37" s="49"/>
      <c r="AT37" s="50">
        <v>30.473333329999999</v>
      </c>
      <c r="AU37" s="50">
        <v>2.3094010769999999E-2</v>
      </c>
      <c r="AV37" s="49"/>
      <c r="AW37" s="50">
        <v>0.60666666670000002</v>
      </c>
      <c r="AX37" s="50">
        <v>9.5277372850000007E-3</v>
      </c>
      <c r="AY37" s="51">
        <v>1.6502525059999999E-2</v>
      </c>
      <c r="AZ37" s="51">
        <v>3.2179923870000002E-2</v>
      </c>
      <c r="BA37" s="49"/>
      <c r="BB37" s="50">
        <v>0.17299999999999999</v>
      </c>
      <c r="BC37" s="50">
        <v>3.0615900009999999E-2</v>
      </c>
      <c r="BD37" s="49"/>
      <c r="BE37" s="49"/>
      <c r="BF37" s="49"/>
      <c r="BG37" s="50">
        <v>20.846272679999998</v>
      </c>
      <c r="BH37" s="50">
        <v>3.0627300669999999</v>
      </c>
      <c r="BI37" s="49"/>
      <c r="BJ37" s="50">
        <v>1.030135966</v>
      </c>
      <c r="BK37" s="49"/>
      <c r="BL37" s="50">
        <f>AVERAGE(BK38:BK40)</f>
        <v>0.32829700243333332</v>
      </c>
      <c r="BM37" s="50">
        <f>STDEV(BK38:BK40)</f>
        <v>1.0838050624452913</v>
      </c>
    </row>
    <row r="38" spans="1:65" x14ac:dyDescent="0.2">
      <c r="A38" s="47" t="s">
        <v>67</v>
      </c>
      <c r="B38" s="53">
        <v>43584.893750000003</v>
      </c>
      <c r="C38" s="47" t="s">
        <v>69</v>
      </c>
      <c r="D38" s="47" t="s">
        <v>511</v>
      </c>
      <c r="E38" s="47" t="s">
        <v>70</v>
      </c>
      <c r="F38" s="53">
        <v>43540.749305555553</v>
      </c>
      <c r="G38" s="47">
        <v>-7.75</v>
      </c>
      <c r="H38" s="47">
        <v>0</v>
      </c>
      <c r="I38" s="47">
        <v>7.69</v>
      </c>
      <c r="J38" s="47">
        <v>0</v>
      </c>
      <c r="K38" s="47">
        <v>38.85</v>
      </c>
      <c r="L38" s="47">
        <v>0</v>
      </c>
      <c r="M38" s="47">
        <v>9.35</v>
      </c>
      <c r="N38" s="47">
        <v>1.6E-2</v>
      </c>
      <c r="O38" s="47">
        <v>-0.40200000000000002</v>
      </c>
      <c r="P38" s="47">
        <v>1.4999999999999999E-2</v>
      </c>
      <c r="Q38" s="47">
        <v>26.649000000000001</v>
      </c>
      <c r="R38" s="47">
        <v>4.1000000000000002E-2</v>
      </c>
      <c r="S38" s="47">
        <v>-0.53500000000000003</v>
      </c>
      <c r="T38" s="47">
        <v>3.9E-2</v>
      </c>
      <c r="U38" s="47">
        <v>-141.833</v>
      </c>
      <c r="V38" s="47">
        <v>8.6890000000000001</v>
      </c>
      <c r="W38" s="47">
        <v>-161.15</v>
      </c>
      <c r="X38" s="47">
        <v>8.4939999999999998</v>
      </c>
      <c r="Y38" s="47">
        <v>-8.1143411040000002E-3</v>
      </c>
      <c r="Z38" s="47" t="s">
        <v>512</v>
      </c>
      <c r="AA38" s="47">
        <v>-0.32600000000000001</v>
      </c>
      <c r="AB38" s="47">
        <v>1.024996595</v>
      </c>
      <c r="AC38" s="47">
        <v>0.93571346470000005</v>
      </c>
      <c r="AD38" s="47">
        <v>0.60199999999999998</v>
      </c>
      <c r="AE38" s="47">
        <v>0</v>
      </c>
      <c r="AF38" s="47">
        <v>-1.8418615070000002E-2</v>
      </c>
      <c r="AG38" s="47" t="s">
        <v>513</v>
      </c>
      <c r="AH38" s="47">
        <v>-4.4999999999999998E-2</v>
      </c>
      <c r="AI38" s="47">
        <v>0.86305604349999998</v>
      </c>
      <c r="AJ38" s="47">
        <v>0.2650565882</v>
      </c>
      <c r="AK38" s="47">
        <v>0.22700000000000001</v>
      </c>
      <c r="AL38" s="47">
        <v>0</v>
      </c>
      <c r="AM38" s="47">
        <v>-7.59</v>
      </c>
      <c r="AN38" s="47"/>
      <c r="AO38" s="47"/>
      <c r="AP38" s="47">
        <v>-0.45</v>
      </c>
      <c r="AQ38" s="47"/>
      <c r="AR38" s="47"/>
      <c r="AS38" s="47">
        <v>30.46</v>
      </c>
      <c r="AT38" s="47"/>
      <c r="AU38" s="47"/>
      <c r="AV38" s="47">
        <v>0.60199999999999998</v>
      </c>
      <c r="AW38" s="47"/>
      <c r="AX38" s="47"/>
      <c r="AY38" s="47"/>
      <c r="AZ38" s="47"/>
      <c r="BA38" s="47">
        <v>0.22700000000000001</v>
      </c>
      <c r="BB38" s="47"/>
      <c r="BC38" s="47"/>
      <c r="BD38" s="47"/>
      <c r="BE38" s="47"/>
      <c r="BF38" s="47">
        <v>22.276447220000001</v>
      </c>
      <c r="BG38" s="47"/>
      <c r="BH38" s="47"/>
      <c r="BI38" s="47">
        <v>1.0298186090000001</v>
      </c>
      <c r="BJ38" s="47"/>
      <c r="BK38" s="47">
        <v>0.62281946929999998</v>
      </c>
      <c r="BL38" s="47"/>
      <c r="BM38" s="47"/>
    </row>
    <row r="39" spans="1:65" x14ac:dyDescent="0.2">
      <c r="A39" s="47" t="s">
        <v>81</v>
      </c>
      <c r="B39" s="53">
        <v>43601.986111111109</v>
      </c>
      <c r="C39" s="47" t="s">
        <v>69</v>
      </c>
      <c r="D39" s="47" t="s">
        <v>511</v>
      </c>
      <c r="E39" s="47" t="s">
        <v>70</v>
      </c>
      <c r="F39" s="53">
        <v>43540.749305555553</v>
      </c>
      <c r="G39" s="47">
        <v>-7.79</v>
      </c>
      <c r="H39" s="47">
        <v>0</v>
      </c>
      <c r="I39" s="47">
        <v>7.72</v>
      </c>
      <c r="J39" s="47">
        <v>0</v>
      </c>
      <c r="K39" s="47">
        <v>38.880000000000003</v>
      </c>
      <c r="L39" s="47">
        <v>0</v>
      </c>
      <c r="M39" s="47">
        <v>9.3559999999999999</v>
      </c>
      <c r="N39" s="47">
        <v>1.7000000000000001E-2</v>
      </c>
      <c r="O39" s="47">
        <v>-0.38800000000000001</v>
      </c>
      <c r="P39" s="47">
        <v>1.7000000000000001E-2</v>
      </c>
      <c r="Q39" s="47">
        <v>26.614000000000001</v>
      </c>
      <c r="R39" s="47">
        <v>4.8000000000000001E-2</v>
      </c>
      <c r="S39" s="47">
        <v>-0.625</v>
      </c>
      <c r="T39" s="47">
        <v>4.8000000000000001E-2</v>
      </c>
      <c r="U39" s="47">
        <v>-422.48099999999999</v>
      </c>
      <c r="V39" s="47">
        <v>22.206</v>
      </c>
      <c r="W39" s="47">
        <v>-435.49099999999999</v>
      </c>
      <c r="X39" s="47">
        <v>21.706</v>
      </c>
      <c r="Y39" s="47">
        <v>-7.7130214669999999E-3</v>
      </c>
      <c r="Z39" s="47" t="s">
        <v>514</v>
      </c>
      <c r="AA39" s="47">
        <v>-0.316</v>
      </c>
      <c r="AB39" s="47">
        <v>1.009374684</v>
      </c>
      <c r="AC39" s="47">
        <v>0.94397866809999997</v>
      </c>
      <c r="AD39" s="47">
        <v>0.625</v>
      </c>
      <c r="AE39" s="47">
        <v>0</v>
      </c>
      <c r="AF39" s="47">
        <v>-1.817730695E-2</v>
      </c>
      <c r="AG39" s="47" t="s">
        <v>515</v>
      </c>
      <c r="AH39" s="47">
        <v>-0.14099999999999999</v>
      </c>
      <c r="AI39" s="47">
        <v>1.043873966</v>
      </c>
      <c r="AJ39" s="47">
        <v>0.2687354609</v>
      </c>
      <c r="AK39" s="47">
        <v>0.121</v>
      </c>
      <c r="AL39" s="47">
        <v>0</v>
      </c>
      <c r="AM39" s="47">
        <v>-7.62</v>
      </c>
      <c r="AN39" s="47"/>
      <c r="AO39" s="47"/>
      <c r="AP39" s="47">
        <v>-0.41</v>
      </c>
      <c r="AQ39" s="47"/>
      <c r="AR39" s="47"/>
      <c r="AS39" s="47">
        <v>30.5</v>
      </c>
      <c r="AT39" s="47"/>
      <c r="AU39" s="47"/>
      <c r="AV39" s="47">
        <v>0.625</v>
      </c>
      <c r="AW39" s="47"/>
      <c r="AX39" s="47"/>
      <c r="AY39" s="47"/>
      <c r="AZ39" s="47"/>
      <c r="BA39" s="47">
        <v>0.121</v>
      </c>
      <c r="BB39" s="47"/>
      <c r="BC39" s="47"/>
      <c r="BD39" s="47"/>
      <c r="BE39" s="47"/>
      <c r="BF39" s="47">
        <v>14.972998029999999</v>
      </c>
      <c r="BG39" s="47"/>
      <c r="BH39" s="47"/>
      <c r="BI39" s="47">
        <v>1.0313997189999999</v>
      </c>
      <c r="BJ39" s="47"/>
      <c r="BK39" s="47">
        <v>-0.87232827099999999</v>
      </c>
      <c r="BL39" s="47"/>
      <c r="BM39" s="47"/>
    </row>
    <row r="40" spans="1:65" x14ac:dyDescent="0.2">
      <c r="A40" s="47" t="s">
        <v>89</v>
      </c>
      <c r="B40" s="53">
        <v>43606.859027777777</v>
      </c>
      <c r="C40" s="47" t="s">
        <v>69</v>
      </c>
      <c r="D40" s="47" t="s">
        <v>511</v>
      </c>
      <c r="E40" s="47" t="s">
        <v>70</v>
      </c>
      <c r="F40" s="53">
        <v>43540.749305555553</v>
      </c>
      <c r="G40" s="47">
        <v>-7.76</v>
      </c>
      <c r="H40" s="47">
        <v>0</v>
      </c>
      <c r="I40" s="47">
        <v>7.67</v>
      </c>
      <c r="J40" s="47">
        <v>0</v>
      </c>
      <c r="K40" s="47">
        <v>38.83</v>
      </c>
      <c r="L40" s="47">
        <v>0</v>
      </c>
      <c r="M40" s="47">
        <v>9.3119999999999994</v>
      </c>
      <c r="N40" s="47">
        <v>7.0000000000000001E-3</v>
      </c>
      <c r="O40" s="47">
        <v>-0.40799999999999997</v>
      </c>
      <c r="P40" s="47">
        <v>7.0000000000000001E-3</v>
      </c>
      <c r="Q40" s="47">
        <v>26.56</v>
      </c>
      <c r="R40" s="47">
        <v>4.2999999999999997E-2</v>
      </c>
      <c r="S40" s="47">
        <v>-0.58099999999999996</v>
      </c>
      <c r="T40" s="47">
        <v>4.2999999999999997E-2</v>
      </c>
      <c r="U40" s="47">
        <v>-1177.954</v>
      </c>
      <c r="V40" s="47">
        <v>597.61300000000006</v>
      </c>
      <c r="W40" s="47">
        <v>-1173.9549999999999</v>
      </c>
      <c r="X40" s="47">
        <v>584.19299999999998</v>
      </c>
      <c r="Y40" s="47">
        <v>-7.6093157110000004E-3</v>
      </c>
      <c r="Z40" s="47" t="s">
        <v>516</v>
      </c>
      <c r="AA40" s="47">
        <v>-0.33700000000000002</v>
      </c>
      <c r="AB40" s="47">
        <v>1.0130669130000001</v>
      </c>
      <c r="AC40" s="47">
        <v>0.93451564580000002</v>
      </c>
      <c r="AD40" s="47">
        <v>0.59299999999999997</v>
      </c>
      <c r="AE40" s="47">
        <v>0</v>
      </c>
      <c r="AF40" s="47">
        <v>-1.6849927229999999E-2</v>
      </c>
      <c r="AG40" s="47" t="s">
        <v>517</v>
      </c>
      <c r="AH40" s="47">
        <v>-0.13300000000000001</v>
      </c>
      <c r="AI40" s="47">
        <v>0.74193242110000002</v>
      </c>
      <c r="AJ40" s="47">
        <v>0.26939446430000002</v>
      </c>
      <c r="AK40" s="47">
        <v>0.17100000000000001</v>
      </c>
      <c r="AL40" s="47">
        <v>0</v>
      </c>
      <c r="AM40" s="47">
        <v>-7.6</v>
      </c>
      <c r="AN40" s="47"/>
      <c r="AO40" s="47"/>
      <c r="AP40" s="47">
        <v>-0.44</v>
      </c>
      <c r="AQ40" s="47"/>
      <c r="AR40" s="47"/>
      <c r="AS40" s="47">
        <v>30.46</v>
      </c>
      <c r="AT40" s="47"/>
      <c r="AU40" s="47"/>
      <c r="AV40" s="47">
        <v>0.59299999999999997</v>
      </c>
      <c r="AW40" s="47"/>
      <c r="AX40" s="47"/>
      <c r="AY40" s="47"/>
      <c r="AZ40" s="47"/>
      <c r="BA40" s="47">
        <v>0.17100000000000001</v>
      </c>
      <c r="BB40" s="47"/>
      <c r="BC40" s="47"/>
      <c r="BD40" s="47"/>
      <c r="BE40" s="47"/>
      <c r="BF40" s="47">
        <v>25.289372780000001</v>
      </c>
      <c r="BG40" s="47"/>
      <c r="BH40" s="47"/>
      <c r="BI40" s="47">
        <v>1.0291895689999999</v>
      </c>
      <c r="BJ40" s="47"/>
      <c r="BK40" s="47">
        <v>1.2343998089999999</v>
      </c>
      <c r="BL40" s="47"/>
      <c r="BM40" s="47"/>
    </row>
    <row r="41" spans="1:65" x14ac:dyDescent="0.2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</row>
    <row r="42" spans="1:65" s="52" customFormat="1" x14ac:dyDescent="0.2">
      <c r="A42" s="50" t="s">
        <v>518</v>
      </c>
      <c r="B42" s="49"/>
      <c r="C42" s="49"/>
      <c r="D42" s="49"/>
      <c r="E42" s="49"/>
      <c r="F42" s="49"/>
      <c r="G42" s="49"/>
      <c r="H42" s="50">
        <v>8.8191710369999992E-3</v>
      </c>
      <c r="I42" s="49"/>
      <c r="J42" s="50">
        <v>2.4037008499999998E-2</v>
      </c>
      <c r="K42" s="49"/>
      <c r="L42" s="50">
        <v>2.3333333330000001E-2</v>
      </c>
      <c r="M42" s="49"/>
      <c r="N42" s="50">
        <v>2.7061657990000001E-2</v>
      </c>
      <c r="O42" s="49"/>
      <c r="P42" s="50">
        <v>6.6583281180000002E-3</v>
      </c>
      <c r="Q42" s="49"/>
      <c r="R42" s="50">
        <v>7.2188026089999996E-2</v>
      </c>
      <c r="S42" s="49"/>
      <c r="T42" s="50">
        <v>8.6810137659999995E-2</v>
      </c>
      <c r="U42" s="49"/>
      <c r="V42" s="50">
        <v>473.07686690000003</v>
      </c>
      <c r="W42" s="49"/>
      <c r="X42" s="50">
        <v>463.92038659999997</v>
      </c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50">
        <v>-10.09</v>
      </c>
      <c r="AO42" s="50">
        <v>1.7320508080000001E-2</v>
      </c>
      <c r="AP42" s="49"/>
      <c r="AQ42" s="50">
        <v>-0.79666666669999997</v>
      </c>
      <c r="AR42" s="50">
        <v>5.0332229569999998E-2</v>
      </c>
      <c r="AS42" s="49"/>
      <c r="AT42" s="50">
        <v>30.1</v>
      </c>
      <c r="AU42" s="50">
        <v>5.5677643630000002E-2</v>
      </c>
      <c r="AV42" s="49"/>
      <c r="AW42" s="50">
        <v>0.60833333329999995</v>
      </c>
      <c r="AX42" s="50">
        <v>8.8380490560000004E-3</v>
      </c>
      <c r="AY42" s="51">
        <v>1.5307950000000001E-2</v>
      </c>
      <c r="AZ42" s="51">
        <v>2.9850502510000002E-2</v>
      </c>
      <c r="BA42" s="49"/>
      <c r="BB42" s="50">
        <v>0.1653333333</v>
      </c>
      <c r="BC42" s="50">
        <v>8.9876458419999999E-2</v>
      </c>
      <c r="BD42" s="49"/>
      <c r="BE42" s="49"/>
      <c r="BF42" s="49"/>
      <c r="BG42" s="50">
        <v>20.294571220000002</v>
      </c>
      <c r="BH42" s="50">
        <v>2.8900540100000001</v>
      </c>
      <c r="BI42" s="49"/>
      <c r="BJ42" s="50">
        <v>1.030252089</v>
      </c>
      <c r="BK42" s="49"/>
      <c r="BL42" s="50">
        <f>AVERAGE(BK43:BK45)</f>
        <v>-0.14689066170000001</v>
      </c>
      <c r="BM42" s="50">
        <f>STDEV(BK43:BK45)</f>
        <v>1.0666963947748458</v>
      </c>
    </row>
    <row r="43" spans="1:65" x14ac:dyDescent="0.2">
      <c r="A43" s="47" t="s">
        <v>67</v>
      </c>
      <c r="B43" s="53">
        <v>43584.979166666664</v>
      </c>
      <c r="C43" s="47" t="s">
        <v>69</v>
      </c>
      <c r="D43" s="47" t="s">
        <v>518</v>
      </c>
      <c r="E43" s="47" t="s">
        <v>70</v>
      </c>
      <c r="F43" s="53">
        <v>43540.749305555553</v>
      </c>
      <c r="G43" s="47">
        <v>-10.25</v>
      </c>
      <c r="H43" s="47">
        <v>0</v>
      </c>
      <c r="I43" s="47">
        <v>7.28</v>
      </c>
      <c r="J43" s="47">
        <v>0</v>
      </c>
      <c r="K43" s="47">
        <v>38.43</v>
      </c>
      <c r="L43" s="47">
        <v>0</v>
      </c>
      <c r="M43" s="47">
        <v>6.5110000000000001</v>
      </c>
      <c r="N43" s="47">
        <v>1.4E-2</v>
      </c>
      <c r="O43" s="47">
        <v>-0.36699999999999999</v>
      </c>
      <c r="P43" s="47">
        <v>1.2999999999999999E-2</v>
      </c>
      <c r="Q43" s="47">
        <v>25.923999999999999</v>
      </c>
      <c r="R43" s="47">
        <v>5.8000000000000003E-2</v>
      </c>
      <c r="S43" s="47">
        <v>-0.42299999999999999</v>
      </c>
      <c r="T43" s="47">
        <v>5.5E-2</v>
      </c>
      <c r="U43" s="47">
        <v>-188.84800000000001</v>
      </c>
      <c r="V43" s="47">
        <v>16.347999999999999</v>
      </c>
      <c r="W43" s="47">
        <v>-204.458</v>
      </c>
      <c r="X43" s="47">
        <v>16.032</v>
      </c>
      <c r="Y43" s="47">
        <v>-8.1143411040000002E-3</v>
      </c>
      <c r="Z43" s="47" t="s">
        <v>519</v>
      </c>
      <c r="AA43" s="47">
        <v>-0.314</v>
      </c>
      <c r="AB43" s="47">
        <v>1.024996595</v>
      </c>
      <c r="AC43" s="47">
        <v>0.93571346470000005</v>
      </c>
      <c r="AD43" s="47">
        <v>0.61399999999999999</v>
      </c>
      <c r="AE43" s="47">
        <v>0</v>
      </c>
      <c r="AF43" s="47">
        <v>-1.8418615070000002E-2</v>
      </c>
      <c r="AG43" s="47" t="s">
        <v>520</v>
      </c>
      <c r="AH43" s="47">
        <v>5.3999999999999999E-2</v>
      </c>
      <c r="AI43" s="47">
        <v>0.86305604349999998</v>
      </c>
      <c r="AJ43" s="47">
        <v>0.2650565882</v>
      </c>
      <c r="AK43" s="47">
        <v>0.312</v>
      </c>
      <c r="AL43" s="47">
        <v>0</v>
      </c>
      <c r="AM43" s="47">
        <v>-10.11</v>
      </c>
      <c r="AN43" s="47"/>
      <c r="AO43" s="47"/>
      <c r="AP43" s="47">
        <v>-0.85</v>
      </c>
      <c r="AQ43" s="47"/>
      <c r="AR43" s="47"/>
      <c r="AS43" s="47">
        <v>30.04</v>
      </c>
      <c r="AT43" s="47"/>
      <c r="AU43" s="47"/>
      <c r="AV43" s="47">
        <v>0.61399999999999999</v>
      </c>
      <c r="AW43" s="47"/>
      <c r="AX43" s="47"/>
      <c r="AY43" s="47"/>
      <c r="AZ43" s="47"/>
      <c r="BA43" s="47">
        <v>0.312</v>
      </c>
      <c r="BB43" s="47"/>
      <c r="BC43" s="47"/>
      <c r="BD43" s="47"/>
      <c r="BE43" s="47"/>
      <c r="BF43" s="47">
        <v>18.397594739999999</v>
      </c>
      <c r="BG43" s="47"/>
      <c r="BH43" s="47"/>
      <c r="BI43" s="47">
        <v>1.0306481679999999</v>
      </c>
      <c r="BJ43" s="47"/>
      <c r="BK43" s="47">
        <v>-0.59008344030000004</v>
      </c>
      <c r="BL43" s="47"/>
      <c r="BM43" s="47"/>
    </row>
    <row r="44" spans="1:65" x14ac:dyDescent="0.2">
      <c r="A44" s="47" t="s">
        <v>81</v>
      </c>
      <c r="B44" s="53">
        <v>43602.072916666664</v>
      </c>
      <c r="C44" s="47" t="s">
        <v>69</v>
      </c>
      <c r="D44" s="47" t="s">
        <v>518</v>
      </c>
      <c r="E44" s="47" t="s">
        <v>70</v>
      </c>
      <c r="F44" s="53">
        <v>43540.749305555553</v>
      </c>
      <c r="G44" s="47">
        <v>-10.23</v>
      </c>
      <c r="H44" s="47">
        <v>0</v>
      </c>
      <c r="I44" s="47">
        <v>7.34</v>
      </c>
      <c r="J44" s="47">
        <v>0</v>
      </c>
      <c r="K44" s="47">
        <v>38.479999999999997</v>
      </c>
      <c r="L44" s="47">
        <v>0</v>
      </c>
      <c r="M44" s="47">
        <v>6.5810000000000004</v>
      </c>
      <c r="N44" s="47">
        <v>8.9999999999999993E-3</v>
      </c>
      <c r="O44" s="47">
        <v>-0.372</v>
      </c>
      <c r="P44" s="47">
        <v>8.9999999999999993E-3</v>
      </c>
      <c r="Q44" s="47">
        <v>25.724</v>
      </c>
      <c r="R44" s="47">
        <v>4.3999999999999997E-2</v>
      </c>
      <c r="S44" s="47">
        <v>-0.72299999999999998</v>
      </c>
      <c r="T44" s="47">
        <v>4.3999999999999997E-2</v>
      </c>
      <c r="U44" s="47">
        <v>-446.74799999999999</v>
      </c>
      <c r="V44" s="47">
        <v>53.082000000000001</v>
      </c>
      <c r="W44" s="47">
        <v>-457.46300000000002</v>
      </c>
      <c r="X44" s="47">
        <v>52.055</v>
      </c>
      <c r="Y44" s="47">
        <v>-7.7130214669999999E-3</v>
      </c>
      <c r="Z44" s="47" t="s">
        <v>521</v>
      </c>
      <c r="AA44" s="47">
        <v>-0.32100000000000001</v>
      </c>
      <c r="AB44" s="47">
        <v>1.009374684</v>
      </c>
      <c r="AC44" s="47">
        <v>0.94397866809999997</v>
      </c>
      <c r="AD44" s="47">
        <v>0.62</v>
      </c>
      <c r="AE44" s="47">
        <v>0</v>
      </c>
      <c r="AF44" s="47">
        <v>-1.817730695E-2</v>
      </c>
      <c r="AG44" s="47" t="s">
        <v>522</v>
      </c>
      <c r="AH44" s="47">
        <v>-0.25600000000000001</v>
      </c>
      <c r="AI44" s="47">
        <v>1.043873966</v>
      </c>
      <c r="AJ44" s="47">
        <v>0.2687354609</v>
      </c>
      <c r="AK44" s="47">
        <v>2E-3</v>
      </c>
      <c r="AL44" s="47">
        <v>0</v>
      </c>
      <c r="AM44" s="47">
        <v>-10.08</v>
      </c>
      <c r="AN44" s="47"/>
      <c r="AO44" s="47"/>
      <c r="AP44" s="47">
        <v>-0.79</v>
      </c>
      <c r="AQ44" s="47"/>
      <c r="AR44" s="47"/>
      <c r="AS44" s="47">
        <v>30.11</v>
      </c>
      <c r="AT44" s="47"/>
      <c r="AU44" s="47"/>
      <c r="AV44" s="47">
        <v>0.62</v>
      </c>
      <c r="AW44" s="47"/>
      <c r="AX44" s="47"/>
      <c r="AY44" s="47"/>
      <c r="AZ44" s="47"/>
      <c r="BA44" s="47">
        <v>2E-3</v>
      </c>
      <c r="BB44" s="47"/>
      <c r="BC44" s="47"/>
      <c r="BD44" s="47"/>
      <c r="BE44" s="47"/>
      <c r="BF44" s="47">
        <v>16.514598110000001</v>
      </c>
      <c r="BG44" s="47"/>
      <c r="BH44" s="47"/>
      <c r="BI44" s="47">
        <v>1.031059138</v>
      </c>
      <c r="BJ44" s="47"/>
      <c r="BK44" s="47">
        <v>-0.92054615979999999</v>
      </c>
      <c r="BL44" s="47"/>
      <c r="BM44" s="47"/>
    </row>
    <row r="45" spans="1:65" x14ac:dyDescent="0.2">
      <c r="A45" s="47" t="s">
        <v>89</v>
      </c>
      <c r="B45" s="53">
        <v>43606.945138888892</v>
      </c>
      <c r="C45" s="47" t="s">
        <v>69</v>
      </c>
      <c r="D45" s="47" t="s">
        <v>518</v>
      </c>
      <c r="E45" s="47" t="s">
        <v>70</v>
      </c>
      <c r="F45" s="53">
        <v>43540.749305555553</v>
      </c>
      <c r="G45" s="47">
        <v>-10.220000000000001</v>
      </c>
      <c r="H45" s="47">
        <v>0</v>
      </c>
      <c r="I45" s="47">
        <v>7.36</v>
      </c>
      <c r="J45" s="47">
        <v>0</v>
      </c>
      <c r="K45" s="47">
        <v>38.51</v>
      </c>
      <c r="L45" s="47">
        <v>0</v>
      </c>
      <c r="M45" s="47">
        <v>6.6</v>
      </c>
      <c r="N45" s="47">
        <v>1.2999999999999999E-2</v>
      </c>
      <c r="O45" s="47">
        <v>-0.38900000000000001</v>
      </c>
      <c r="P45" s="47">
        <v>1.4E-2</v>
      </c>
      <c r="Q45" s="47">
        <v>25.954000000000001</v>
      </c>
      <c r="R45" s="47">
        <v>9.4E-2</v>
      </c>
      <c r="S45" s="47">
        <v>-0.55500000000000005</v>
      </c>
      <c r="T45" s="47">
        <v>9.1999999999999998E-2</v>
      </c>
      <c r="U45" s="47">
        <v>-1719.3440000000001</v>
      </c>
      <c r="V45" s="47">
        <v>243.93799999999999</v>
      </c>
      <c r="W45" s="47">
        <v>-1705.366</v>
      </c>
      <c r="X45" s="47">
        <v>239.196</v>
      </c>
      <c r="Y45" s="47">
        <v>-7.6093157110000004E-3</v>
      </c>
      <c r="Z45" s="47" t="s">
        <v>523</v>
      </c>
      <c r="AA45" s="47">
        <v>-0.33900000000000002</v>
      </c>
      <c r="AB45" s="47">
        <v>1.0130669130000001</v>
      </c>
      <c r="AC45" s="47">
        <v>0.93451564580000002</v>
      </c>
      <c r="AD45" s="47">
        <v>0.59099999999999997</v>
      </c>
      <c r="AE45" s="47">
        <v>0</v>
      </c>
      <c r="AF45" s="47">
        <v>-1.6849927229999999E-2</v>
      </c>
      <c r="AG45" s="47" t="s">
        <v>524</v>
      </c>
      <c r="AH45" s="47">
        <v>-0.11799999999999999</v>
      </c>
      <c r="AI45" s="47">
        <v>0.74193242110000002</v>
      </c>
      <c r="AJ45" s="47">
        <v>0.26939446430000002</v>
      </c>
      <c r="AK45" s="47">
        <v>0.182</v>
      </c>
      <c r="AL45" s="47">
        <v>0</v>
      </c>
      <c r="AM45" s="47">
        <v>-10.08</v>
      </c>
      <c r="AN45" s="47"/>
      <c r="AO45" s="47"/>
      <c r="AP45" s="47">
        <v>-0.75</v>
      </c>
      <c r="AQ45" s="47"/>
      <c r="AR45" s="47"/>
      <c r="AS45" s="47">
        <v>30.15</v>
      </c>
      <c r="AT45" s="47"/>
      <c r="AU45" s="47"/>
      <c r="AV45" s="47">
        <v>0.59099999999999997</v>
      </c>
      <c r="AW45" s="47"/>
      <c r="AX45" s="47"/>
      <c r="AY45" s="47"/>
      <c r="AZ45" s="47"/>
      <c r="BA45" s="47">
        <v>0.182</v>
      </c>
      <c r="BB45" s="47"/>
      <c r="BC45" s="47"/>
      <c r="BD45" s="47"/>
      <c r="BE45" s="47"/>
      <c r="BF45" s="47">
        <v>25.971520810000001</v>
      </c>
      <c r="BG45" s="47"/>
      <c r="BH45" s="47"/>
      <c r="BI45" s="47">
        <v>1.029048961</v>
      </c>
      <c r="BJ45" s="47"/>
      <c r="BK45" s="47">
        <v>1.0699576150000001</v>
      </c>
      <c r="BL45" s="47"/>
      <c r="BM45" s="47"/>
    </row>
    <row r="46" spans="1:65" x14ac:dyDescent="0.2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</row>
    <row r="47" spans="1:65" s="52" customFormat="1" x14ac:dyDescent="0.2">
      <c r="A47" s="50" t="s">
        <v>525</v>
      </c>
      <c r="B47" s="49"/>
      <c r="C47" s="49"/>
      <c r="D47" s="49"/>
      <c r="E47" s="49"/>
      <c r="F47" s="49"/>
      <c r="G47" s="49"/>
      <c r="H47" s="50">
        <v>5.7735026919999996E-3</v>
      </c>
      <c r="I47" s="49"/>
      <c r="J47" s="50">
        <v>0.101707642</v>
      </c>
      <c r="K47" s="49"/>
      <c r="L47" s="50">
        <v>0.10493384159999999</v>
      </c>
      <c r="M47" s="49"/>
      <c r="N47" s="50">
        <v>9.1265181390000005E-2</v>
      </c>
      <c r="O47" s="49"/>
      <c r="P47" s="50">
        <v>1.9347695809999999E-2</v>
      </c>
      <c r="Q47" s="49"/>
      <c r="R47" s="50">
        <v>0.17252664849999999</v>
      </c>
      <c r="S47" s="49"/>
      <c r="T47" s="50">
        <v>3.6103247009999999E-2</v>
      </c>
      <c r="U47" s="49"/>
      <c r="V47" s="50">
        <v>900.29342229999997</v>
      </c>
      <c r="W47" s="49"/>
      <c r="X47" s="50">
        <v>881.76771740000004</v>
      </c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50">
        <v>-9.31</v>
      </c>
      <c r="AO47" s="50">
        <v>0.03</v>
      </c>
      <c r="AP47" s="49"/>
      <c r="AQ47" s="50">
        <v>-0.70333333330000003</v>
      </c>
      <c r="AR47" s="50">
        <v>0.1553490693</v>
      </c>
      <c r="AS47" s="49"/>
      <c r="AT47" s="50">
        <v>30.2</v>
      </c>
      <c r="AU47" s="50">
        <v>0.16093476940000001</v>
      </c>
      <c r="AV47" s="49"/>
      <c r="AW47" s="50">
        <v>0.64900000000000002</v>
      </c>
      <c r="AX47" s="50">
        <v>2.0207259419999998E-2</v>
      </c>
      <c r="AY47" s="51">
        <v>3.5000000000000003E-2</v>
      </c>
      <c r="AZ47" s="51">
        <v>6.8250000000000005E-2</v>
      </c>
      <c r="BA47" s="49"/>
      <c r="BB47" s="50">
        <v>0.19233333329999999</v>
      </c>
      <c r="BC47" s="50">
        <v>5.7839817119999998E-2</v>
      </c>
      <c r="BD47" s="49"/>
      <c r="BE47" s="49"/>
      <c r="BF47" s="49"/>
      <c r="BG47" s="50">
        <v>8.2539812890000004</v>
      </c>
      <c r="BH47" s="50">
        <v>5.7573408060000002</v>
      </c>
      <c r="BI47" s="49"/>
      <c r="BJ47" s="50">
        <v>1.0329857490000001</v>
      </c>
      <c r="BK47" s="49"/>
      <c r="BL47" s="50">
        <f>AVERAGE(BK48:BK50)</f>
        <v>-2.6931997713333331</v>
      </c>
      <c r="BM47" s="50">
        <f>STDEV(BK48:BK50)</f>
        <v>2.395535757064986</v>
      </c>
    </row>
    <row r="48" spans="1:65" x14ac:dyDescent="0.2">
      <c r="A48" s="47" t="s">
        <v>67</v>
      </c>
      <c r="B48" s="53">
        <v>43608.711805555555</v>
      </c>
      <c r="C48" s="47" t="s">
        <v>69</v>
      </c>
      <c r="D48" s="47" t="s">
        <v>525</v>
      </c>
      <c r="E48" s="47" t="s">
        <v>70</v>
      </c>
      <c r="F48" s="53">
        <v>43540.749305555553</v>
      </c>
      <c r="G48" s="47">
        <v>-9.43</v>
      </c>
      <c r="H48" s="47">
        <v>0</v>
      </c>
      <c r="I48" s="47">
        <v>7.59</v>
      </c>
      <c r="J48" s="47">
        <v>0</v>
      </c>
      <c r="K48" s="47">
        <v>38.74</v>
      </c>
      <c r="L48" s="47">
        <v>0</v>
      </c>
      <c r="M48" s="47">
        <v>7.6280000000000001</v>
      </c>
      <c r="N48" s="47">
        <v>1.2999999999999999E-2</v>
      </c>
      <c r="O48" s="47">
        <v>-0.374</v>
      </c>
      <c r="P48" s="47">
        <v>1.2E-2</v>
      </c>
      <c r="Q48" s="47">
        <v>26.332000000000001</v>
      </c>
      <c r="R48" s="47">
        <v>7.6999999999999999E-2</v>
      </c>
      <c r="S48" s="47">
        <v>-0.63600000000000001</v>
      </c>
      <c r="T48" s="47">
        <v>7.2999999999999995E-2</v>
      </c>
      <c r="U48" s="47">
        <v>-3680.297</v>
      </c>
      <c r="V48" s="47">
        <v>1247.5260000000001</v>
      </c>
      <c r="W48" s="47">
        <v>-3624.9029999999998</v>
      </c>
      <c r="X48" s="47">
        <v>1221.732</v>
      </c>
      <c r="Y48" s="47">
        <v>-7.6342577599999998E-3</v>
      </c>
      <c r="Z48" s="47" t="s">
        <v>526</v>
      </c>
      <c r="AA48" s="47">
        <v>-0.315</v>
      </c>
      <c r="AB48" s="47">
        <v>1.0097042629999999</v>
      </c>
      <c r="AC48" s="47">
        <v>0.93278732470000003</v>
      </c>
      <c r="AD48" s="47">
        <v>0.61399999999999999</v>
      </c>
      <c r="AE48" s="47">
        <v>0</v>
      </c>
      <c r="AF48" s="47">
        <v>-1.735039645E-2</v>
      </c>
      <c r="AG48" s="47" t="s">
        <v>527</v>
      </c>
      <c r="AH48" s="47">
        <v>-0.17899999999999999</v>
      </c>
      <c r="AI48" s="47">
        <v>0.73058874200000001</v>
      </c>
      <c r="AJ48" s="47">
        <v>0.26670474640000003</v>
      </c>
      <c r="AK48" s="47">
        <v>0.13600000000000001</v>
      </c>
      <c r="AL48" s="47">
        <v>0</v>
      </c>
      <c r="AM48" s="47">
        <v>-9.2799999999999994</v>
      </c>
      <c r="AN48" s="47"/>
      <c r="AO48" s="47"/>
      <c r="AP48" s="47">
        <v>-0.53</v>
      </c>
      <c r="AQ48" s="47"/>
      <c r="AR48" s="47"/>
      <c r="AS48" s="47">
        <v>30.38</v>
      </c>
      <c r="AT48" s="47"/>
      <c r="AU48" s="47"/>
      <c r="AV48" s="47">
        <v>0.61399999999999999</v>
      </c>
      <c r="AW48" s="47"/>
      <c r="AX48" s="47"/>
      <c r="AY48" s="47"/>
      <c r="AZ48" s="47"/>
      <c r="BA48" s="47">
        <v>0.13600000000000001</v>
      </c>
      <c r="BB48" s="47"/>
      <c r="BC48" s="47"/>
      <c r="BD48" s="47"/>
      <c r="BE48" s="47"/>
      <c r="BF48" s="47">
        <v>18.397594739999999</v>
      </c>
      <c r="BG48" s="47"/>
      <c r="BH48" s="47"/>
      <c r="BI48" s="47">
        <v>1.0306481679999999</v>
      </c>
      <c r="BJ48" s="47"/>
      <c r="BK48" s="47">
        <v>-0.26019394899999998</v>
      </c>
      <c r="BL48" s="47"/>
      <c r="BM48" s="47"/>
    </row>
    <row r="49" spans="1:65" x14ac:dyDescent="0.2">
      <c r="A49" s="47" t="s">
        <v>81</v>
      </c>
      <c r="B49" s="53">
        <v>43613.712500000001</v>
      </c>
      <c r="C49" s="47" t="s">
        <v>69</v>
      </c>
      <c r="D49" s="47" t="s">
        <v>525</v>
      </c>
      <c r="E49" s="47" t="s">
        <v>70</v>
      </c>
      <c r="F49" s="53">
        <v>43540.749305555553</v>
      </c>
      <c r="G49" s="47">
        <v>-9.44</v>
      </c>
      <c r="H49" s="47">
        <v>0</v>
      </c>
      <c r="I49" s="47">
        <v>7.34</v>
      </c>
      <c r="J49" s="47">
        <v>0</v>
      </c>
      <c r="K49" s="47">
        <v>38.479999999999997</v>
      </c>
      <c r="L49" s="47">
        <v>0</v>
      </c>
      <c r="M49" s="47">
        <v>7.3959999999999999</v>
      </c>
      <c r="N49" s="47">
        <v>0.01</v>
      </c>
      <c r="O49" s="47">
        <v>-0.33900000000000002</v>
      </c>
      <c r="P49" s="47">
        <v>0.01</v>
      </c>
      <c r="Q49" s="47">
        <v>25.887</v>
      </c>
      <c r="R49" s="47">
        <v>3.3000000000000002E-2</v>
      </c>
      <c r="S49" s="47">
        <v>-0.56999999999999995</v>
      </c>
      <c r="T49" s="47">
        <v>3.1E-2</v>
      </c>
      <c r="U49" s="47">
        <v>-2014.6020000000001</v>
      </c>
      <c r="V49" s="47">
        <v>6069.1270000000004</v>
      </c>
      <c r="W49" s="47">
        <v>-1993.973</v>
      </c>
      <c r="X49" s="47">
        <v>5946.558</v>
      </c>
      <c r="Y49" s="47">
        <v>-7.6578775450000004E-3</v>
      </c>
      <c r="Z49" s="47" t="s">
        <v>528</v>
      </c>
      <c r="AA49" s="47">
        <v>-0.28299999999999997</v>
      </c>
      <c r="AB49" s="47">
        <v>1.0051747280000001</v>
      </c>
      <c r="AC49" s="47">
        <v>0.93282188659999998</v>
      </c>
      <c r="AD49" s="47">
        <v>0.64900000000000002</v>
      </c>
      <c r="AE49" s="47">
        <v>0</v>
      </c>
      <c r="AF49" s="47">
        <v>-1.426075066E-2</v>
      </c>
      <c r="AG49" s="47" t="s">
        <v>529</v>
      </c>
      <c r="AH49" s="47">
        <v>-0.20100000000000001</v>
      </c>
      <c r="AI49" s="47">
        <v>0.67239554310000005</v>
      </c>
      <c r="AJ49" s="47">
        <v>0.26797191949999999</v>
      </c>
      <c r="AK49" s="47">
        <v>0.13300000000000001</v>
      </c>
      <c r="AL49" s="47">
        <v>0</v>
      </c>
      <c r="AM49" s="47">
        <v>-9.31</v>
      </c>
      <c r="AN49" s="47"/>
      <c r="AO49" s="47"/>
      <c r="AP49" s="47">
        <v>-0.75</v>
      </c>
      <c r="AQ49" s="47"/>
      <c r="AR49" s="47"/>
      <c r="AS49" s="47">
        <v>30.15</v>
      </c>
      <c r="AT49" s="47"/>
      <c r="AU49" s="47"/>
      <c r="AV49" s="47">
        <v>0.64900000000000002</v>
      </c>
      <c r="AW49" s="47"/>
      <c r="AX49" s="47"/>
      <c r="AY49" s="47"/>
      <c r="AZ49" s="47"/>
      <c r="BA49" s="47">
        <v>0.13300000000000001</v>
      </c>
      <c r="BB49" s="47"/>
      <c r="BC49" s="47"/>
      <c r="BD49" s="47"/>
      <c r="BE49" s="47"/>
      <c r="BF49" s="47">
        <v>7.9014169860000001</v>
      </c>
      <c r="BG49" s="47"/>
      <c r="BH49" s="47"/>
      <c r="BI49" s="47">
        <v>1.0330114269999999</v>
      </c>
      <c r="BJ49" s="47"/>
      <c r="BK49" s="47">
        <v>-2.7699862419999999</v>
      </c>
      <c r="BL49" s="47"/>
      <c r="BM49" s="47"/>
    </row>
    <row r="50" spans="1:65" x14ac:dyDescent="0.2">
      <c r="A50" s="47" t="s">
        <v>89</v>
      </c>
      <c r="B50" s="53">
        <v>43614.727083333331</v>
      </c>
      <c r="C50" s="47" t="s">
        <v>69</v>
      </c>
      <c r="D50" s="47" t="s">
        <v>525</v>
      </c>
      <c r="E50" s="47" t="s">
        <v>70</v>
      </c>
      <c r="F50" s="53">
        <v>43540.749305555553</v>
      </c>
      <c r="G50" s="47">
        <v>-9.4499999999999993</v>
      </c>
      <c r="H50" s="47">
        <v>0</v>
      </c>
      <c r="I50" s="47">
        <v>7.25</v>
      </c>
      <c r="J50" s="47">
        <v>0</v>
      </c>
      <c r="K50" s="47">
        <v>38.39</v>
      </c>
      <c r="L50" s="47">
        <v>0</v>
      </c>
      <c r="M50" s="47">
        <v>7.3259999999999996</v>
      </c>
      <c r="N50" s="47">
        <v>1.7000000000000001E-2</v>
      </c>
      <c r="O50" s="47">
        <v>-0.307</v>
      </c>
      <c r="P50" s="47">
        <v>1.7000000000000001E-2</v>
      </c>
      <c r="Q50" s="47">
        <v>25.763999999999999</v>
      </c>
      <c r="R50" s="47">
        <v>4.3999999999999997E-2</v>
      </c>
      <c r="S50" s="47">
        <v>-0.51100000000000001</v>
      </c>
      <c r="T50" s="47">
        <v>4.3999999999999997E-2</v>
      </c>
      <c r="U50" s="47">
        <v>-564.06399999999996</v>
      </c>
      <c r="V50" s="47">
        <v>38.643999999999998</v>
      </c>
      <c r="W50" s="47">
        <v>-572.77099999999996</v>
      </c>
      <c r="X50" s="47">
        <v>37.871000000000002</v>
      </c>
      <c r="Y50" s="47">
        <v>-7.984112828E-3</v>
      </c>
      <c r="Z50" s="47" t="s">
        <v>530</v>
      </c>
      <c r="AA50" s="47">
        <v>-0.249</v>
      </c>
      <c r="AB50" s="47">
        <v>1.01450402</v>
      </c>
      <c r="AC50" s="47">
        <v>0.93672003699999995</v>
      </c>
      <c r="AD50" s="47">
        <v>0.68400000000000005</v>
      </c>
      <c r="AE50" s="47">
        <v>0</v>
      </c>
      <c r="AF50" s="47">
        <v>-2.172700956E-2</v>
      </c>
      <c r="AG50" s="47" t="s">
        <v>531</v>
      </c>
      <c r="AH50" s="47">
        <v>4.8000000000000001E-2</v>
      </c>
      <c r="AI50" s="47">
        <v>0.78965419540000004</v>
      </c>
      <c r="AJ50" s="47">
        <v>0.26944985440000002</v>
      </c>
      <c r="AK50" s="47">
        <v>0.308</v>
      </c>
      <c r="AL50" s="47">
        <v>0</v>
      </c>
      <c r="AM50" s="47">
        <v>-9.34</v>
      </c>
      <c r="AN50" s="47"/>
      <c r="AO50" s="47"/>
      <c r="AP50" s="47">
        <v>-0.83</v>
      </c>
      <c r="AQ50" s="47"/>
      <c r="AR50" s="47"/>
      <c r="AS50" s="47">
        <v>30.07</v>
      </c>
      <c r="AT50" s="47"/>
      <c r="AU50" s="47"/>
      <c r="AV50" s="47">
        <v>0.68400000000000005</v>
      </c>
      <c r="AW50" s="47"/>
      <c r="AX50" s="47"/>
      <c r="AY50" s="47"/>
      <c r="AZ50" s="47"/>
      <c r="BA50" s="47">
        <v>0.308</v>
      </c>
      <c r="BB50" s="47"/>
      <c r="BC50" s="47"/>
      <c r="BD50" s="47"/>
      <c r="BE50" s="47"/>
      <c r="BF50" s="47">
        <v>-1.5370678600000001</v>
      </c>
      <c r="BG50" s="47"/>
      <c r="BH50" s="47"/>
      <c r="BI50" s="47">
        <v>1.0352976519999999</v>
      </c>
      <c r="BJ50" s="47"/>
      <c r="BK50" s="47">
        <v>-5.0494191229999998</v>
      </c>
      <c r="BL50" s="47"/>
      <c r="BM50" s="47"/>
    </row>
    <row r="51" spans="1:65" x14ac:dyDescent="0.2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</row>
    <row r="52" spans="1:65" s="52" customFormat="1" x14ac:dyDescent="0.2">
      <c r="A52" s="50" t="s">
        <v>532</v>
      </c>
      <c r="B52" s="49"/>
      <c r="C52" s="49"/>
      <c r="D52" s="49"/>
      <c r="E52" s="49"/>
      <c r="F52" s="49"/>
      <c r="G52" s="49"/>
      <c r="H52" s="50">
        <v>6.6666666670000003E-3</v>
      </c>
      <c r="I52" s="49"/>
      <c r="J52" s="50">
        <v>9.3333333330000004E-2</v>
      </c>
      <c r="K52" s="49"/>
      <c r="L52" s="50">
        <v>9.3333333330000004E-2</v>
      </c>
      <c r="M52" s="49"/>
      <c r="N52" s="50">
        <v>7.3190011459999996E-2</v>
      </c>
      <c r="O52" s="49"/>
      <c r="P52" s="50">
        <v>2.257825896E-2</v>
      </c>
      <c r="Q52" s="49"/>
      <c r="R52" s="50">
        <v>0.1919638276</v>
      </c>
      <c r="S52" s="49"/>
      <c r="T52" s="50">
        <v>1.225198397E-2</v>
      </c>
      <c r="U52" s="49"/>
      <c r="V52" s="50">
        <v>1410.075057</v>
      </c>
      <c r="W52" s="49"/>
      <c r="X52" s="50">
        <v>1381.4181550000001</v>
      </c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50">
        <v>-9.8350000000000009</v>
      </c>
      <c r="AO52" s="50">
        <v>2.1213203440000002E-2</v>
      </c>
      <c r="AP52" s="49"/>
      <c r="AQ52" s="50">
        <v>-0.53500000000000003</v>
      </c>
      <c r="AR52" s="50">
        <v>0.1202081528</v>
      </c>
      <c r="AS52" s="49"/>
      <c r="AT52" s="50">
        <v>30.37</v>
      </c>
      <c r="AU52" s="50">
        <v>0.12727922059999999</v>
      </c>
      <c r="AV52" s="49"/>
      <c r="AW52" s="50">
        <v>0.63900000000000001</v>
      </c>
      <c r="AX52" s="50">
        <v>2.1999999999999999E-2</v>
      </c>
      <c r="AY52" s="51">
        <v>3.1112698370000001E-2</v>
      </c>
      <c r="AZ52" s="51">
        <v>6.0669761830000002E-2</v>
      </c>
      <c r="BA52" s="49"/>
      <c r="BB52" s="50">
        <v>0.126</v>
      </c>
      <c r="BC52" s="50">
        <v>3.9E-2</v>
      </c>
      <c r="BD52" s="49"/>
      <c r="BE52" s="49"/>
      <c r="BF52" s="49"/>
      <c r="BG52" s="50">
        <v>11.003484309999999</v>
      </c>
      <c r="BH52" s="50">
        <v>6.4480367860000003</v>
      </c>
      <c r="BI52" s="49"/>
      <c r="BJ52" s="50">
        <v>1.0336377670000001</v>
      </c>
      <c r="BK52" s="49"/>
      <c r="BL52" s="50">
        <f>AVERAGE(BK54:BK55)</f>
        <v>-1.8952536493499998</v>
      </c>
      <c r="BM52" s="50">
        <f>STDEV(BK54:BK55)</f>
        <v>2.1398180754411715</v>
      </c>
    </row>
    <row r="53" spans="1:65" x14ac:dyDescent="0.2">
      <c r="A53" s="47" t="s">
        <v>290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>
        <v>-9.84</v>
      </c>
      <c r="AN53" s="47"/>
      <c r="AO53" s="47"/>
      <c r="AP53" s="47">
        <v>-0.6</v>
      </c>
      <c r="AQ53" s="47"/>
      <c r="AR53" s="47"/>
      <c r="AS53" s="47">
        <v>30.3</v>
      </c>
      <c r="AT53" s="47"/>
      <c r="AU53" s="47"/>
      <c r="AV53" s="47">
        <v>0.65900000000000003</v>
      </c>
      <c r="AW53" s="47"/>
      <c r="AX53" s="47"/>
      <c r="AY53" s="47"/>
      <c r="AZ53" s="47"/>
      <c r="BA53" s="47">
        <v>0.161</v>
      </c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</row>
    <row r="54" spans="1:65" x14ac:dyDescent="0.2">
      <c r="A54" s="47" t="s">
        <v>67</v>
      </c>
      <c r="B54" s="53">
        <v>43608.798611111109</v>
      </c>
      <c r="C54" s="47" t="s">
        <v>69</v>
      </c>
      <c r="D54" s="47" t="s">
        <v>532</v>
      </c>
      <c r="E54" s="47" t="s">
        <v>70</v>
      </c>
      <c r="F54" s="53">
        <v>43540.749305555553</v>
      </c>
      <c r="G54" s="47">
        <v>-9.9600000000000009</v>
      </c>
      <c r="H54" s="47">
        <v>0</v>
      </c>
      <c r="I54" s="47">
        <v>7.67</v>
      </c>
      <c r="J54" s="47">
        <v>0</v>
      </c>
      <c r="K54" s="47">
        <v>38.82</v>
      </c>
      <c r="L54" s="47">
        <v>0</v>
      </c>
      <c r="M54" s="47">
        <v>7.1879999999999997</v>
      </c>
      <c r="N54" s="47">
        <v>1.6E-2</v>
      </c>
      <c r="O54" s="47">
        <v>-0.36799999999999999</v>
      </c>
      <c r="P54" s="47">
        <v>1.6E-2</v>
      </c>
      <c r="Q54" s="47">
        <v>26.523</v>
      </c>
      <c r="R54" s="47">
        <v>5.7000000000000002E-2</v>
      </c>
      <c r="S54" s="47">
        <v>-0.59899999999999998</v>
      </c>
      <c r="T54" s="47">
        <v>5.5E-2</v>
      </c>
      <c r="U54" s="47">
        <v>4347.62</v>
      </c>
      <c r="V54" s="47">
        <v>3814.029</v>
      </c>
      <c r="W54" s="47">
        <v>4239.1440000000002</v>
      </c>
      <c r="X54" s="47">
        <v>3736.7159999999999</v>
      </c>
      <c r="Y54" s="47">
        <v>-7.6342577599999998E-3</v>
      </c>
      <c r="Z54" s="47" t="s">
        <v>533</v>
      </c>
      <c r="AA54" s="47">
        <v>-0.313</v>
      </c>
      <c r="AB54" s="47">
        <v>1.0097042629999999</v>
      </c>
      <c r="AC54" s="47">
        <v>0.93278732470000003</v>
      </c>
      <c r="AD54" s="47">
        <v>0.61699999999999999</v>
      </c>
      <c r="AE54" s="47">
        <v>0</v>
      </c>
      <c r="AF54" s="47">
        <v>-1.735039645E-2</v>
      </c>
      <c r="AG54" s="47" t="s">
        <v>534</v>
      </c>
      <c r="AH54" s="47">
        <v>-0.13900000000000001</v>
      </c>
      <c r="AI54" s="47">
        <v>0.73058874200000001</v>
      </c>
      <c r="AJ54" s="47">
        <v>0.26670474640000003</v>
      </c>
      <c r="AK54" s="47">
        <v>0.16500000000000001</v>
      </c>
      <c r="AL54" s="47">
        <v>0</v>
      </c>
      <c r="AM54" s="47">
        <v>-9.82</v>
      </c>
      <c r="AN54" s="47"/>
      <c r="AO54" s="47"/>
      <c r="AP54" s="47">
        <v>-0.45</v>
      </c>
      <c r="AQ54" s="47"/>
      <c r="AR54" s="47"/>
      <c r="AS54" s="47">
        <v>30.46</v>
      </c>
      <c r="AT54" s="47"/>
      <c r="AU54" s="47"/>
      <c r="AV54" s="47">
        <v>0.61699999999999999</v>
      </c>
      <c r="AW54" s="47"/>
      <c r="AX54" s="47"/>
      <c r="AY54" s="47"/>
      <c r="AZ54" s="47"/>
      <c r="BA54" s="47">
        <v>0.16500000000000001</v>
      </c>
      <c r="BB54" s="47"/>
      <c r="BC54" s="47"/>
      <c r="BD54" s="47"/>
      <c r="BE54" s="47"/>
      <c r="BF54" s="47">
        <v>17.45152109</v>
      </c>
      <c r="BG54" s="47"/>
      <c r="BH54" s="47"/>
      <c r="BI54" s="47">
        <v>1.0308539649999999</v>
      </c>
      <c r="BJ54" s="47"/>
      <c r="BK54" s="47">
        <v>-0.38217377769999999</v>
      </c>
      <c r="BL54" s="47"/>
      <c r="BM54" s="47"/>
    </row>
    <row r="55" spans="1:65" x14ac:dyDescent="0.2">
      <c r="A55" s="47" t="s">
        <v>81</v>
      </c>
      <c r="B55" s="53">
        <v>43613.79791666667</v>
      </c>
      <c r="C55" s="47" t="s">
        <v>69</v>
      </c>
      <c r="D55" s="47" t="s">
        <v>532</v>
      </c>
      <c r="E55" s="47" t="s">
        <v>70</v>
      </c>
      <c r="F55" s="53">
        <v>43540.749305555553</v>
      </c>
      <c r="G55" s="47">
        <v>-9.98</v>
      </c>
      <c r="H55" s="47">
        <v>0</v>
      </c>
      <c r="I55" s="47">
        <v>7.47</v>
      </c>
      <c r="J55" s="47">
        <v>0</v>
      </c>
      <c r="K55" s="47">
        <v>38.619999999999997</v>
      </c>
      <c r="L55" s="47">
        <v>0</v>
      </c>
      <c r="M55" s="47">
        <v>7.0090000000000003</v>
      </c>
      <c r="N55" s="47">
        <v>1.7000000000000001E-2</v>
      </c>
      <c r="O55" s="47">
        <v>-0.32400000000000001</v>
      </c>
      <c r="P55" s="47">
        <v>1.7000000000000001E-2</v>
      </c>
      <c r="Q55" s="47">
        <v>26.073</v>
      </c>
      <c r="R55" s="47">
        <v>4.3999999999999997E-2</v>
      </c>
      <c r="S55" s="47">
        <v>-0.64</v>
      </c>
      <c r="T55" s="47">
        <v>4.3999999999999997E-2</v>
      </c>
      <c r="U55" s="47">
        <v>2271.7150000000001</v>
      </c>
      <c r="V55" s="47">
        <v>3164.6410000000001</v>
      </c>
      <c r="W55" s="47">
        <v>2206.6680000000001</v>
      </c>
      <c r="X55" s="47">
        <v>3101.732</v>
      </c>
      <c r="Y55" s="47">
        <v>-7.6578775450000004E-3</v>
      </c>
      <c r="Z55" s="47" t="s">
        <v>535</v>
      </c>
      <c r="AA55" s="47">
        <v>-0.27</v>
      </c>
      <c r="AB55" s="47">
        <v>1.0051747280000001</v>
      </c>
      <c r="AC55" s="47">
        <v>0.93282188659999998</v>
      </c>
      <c r="AD55" s="47">
        <v>0.66100000000000003</v>
      </c>
      <c r="AE55" s="47">
        <v>0</v>
      </c>
      <c r="AF55" s="47">
        <v>-1.426075066E-2</v>
      </c>
      <c r="AG55" s="47" t="s">
        <v>536</v>
      </c>
      <c r="AH55" s="47">
        <v>-0.26900000000000002</v>
      </c>
      <c r="AI55" s="47">
        <v>0.67239554310000005</v>
      </c>
      <c r="AJ55" s="47">
        <v>0.26797191949999999</v>
      </c>
      <c r="AK55" s="47">
        <v>8.6999999999999994E-2</v>
      </c>
      <c r="AL55" s="47">
        <v>0</v>
      </c>
      <c r="AM55" s="47">
        <v>-9.85</v>
      </c>
      <c r="AN55" s="47"/>
      <c r="AO55" s="47"/>
      <c r="AP55" s="47">
        <v>-0.62</v>
      </c>
      <c r="AQ55" s="47"/>
      <c r="AR55" s="47"/>
      <c r="AS55" s="47">
        <v>30.28</v>
      </c>
      <c r="AT55" s="47"/>
      <c r="AU55" s="47"/>
      <c r="AV55" s="47">
        <v>0.66100000000000003</v>
      </c>
      <c r="AW55" s="47"/>
      <c r="AX55" s="47"/>
      <c r="AY55" s="47"/>
      <c r="AZ55" s="47"/>
      <c r="BA55" s="47">
        <v>8.6999999999999994E-2</v>
      </c>
      <c r="BB55" s="47"/>
      <c r="BC55" s="47"/>
      <c r="BD55" s="47"/>
      <c r="BE55" s="47"/>
      <c r="BF55" s="47">
        <v>4.5554475190000003</v>
      </c>
      <c r="BG55" s="47"/>
      <c r="BH55" s="47"/>
      <c r="BI55" s="47">
        <v>1.033803547</v>
      </c>
      <c r="BJ55" s="47"/>
      <c r="BK55" s="47">
        <v>-3.4083335209999999</v>
      </c>
      <c r="BL55" s="47"/>
      <c r="BM55" s="47"/>
    </row>
    <row r="56" spans="1:65" x14ac:dyDescent="0.2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</row>
    <row r="57" spans="1:65" s="52" customFormat="1" x14ac:dyDescent="0.2">
      <c r="A57" s="50" t="s">
        <v>537</v>
      </c>
      <c r="B57" s="49"/>
      <c r="C57" s="49"/>
      <c r="D57" s="49"/>
      <c r="E57" s="49"/>
      <c r="F57" s="49"/>
      <c r="G57" s="49"/>
      <c r="H57" s="50">
        <v>1.2018504249999999E-2</v>
      </c>
      <c r="I57" s="49"/>
      <c r="J57" s="50">
        <v>2.4037008499999998E-2</v>
      </c>
      <c r="K57" s="49"/>
      <c r="L57" s="50">
        <v>2.185812841E-2</v>
      </c>
      <c r="M57" s="49"/>
      <c r="N57" s="50">
        <v>4.5278152689999997E-2</v>
      </c>
      <c r="O57" s="49"/>
      <c r="P57" s="50">
        <v>1.2732286170000001E-2</v>
      </c>
      <c r="Q57" s="49"/>
      <c r="R57" s="50">
        <v>4.9887651560000003E-2</v>
      </c>
      <c r="S57" s="49"/>
      <c r="T57" s="50">
        <v>6.333333333E-3</v>
      </c>
      <c r="U57" s="49"/>
      <c r="V57" s="50">
        <v>3.1549543579999999</v>
      </c>
      <c r="W57" s="49"/>
      <c r="X57" s="50">
        <v>3.112217448</v>
      </c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50">
        <v>-9.6366666670000001</v>
      </c>
      <c r="AO57" s="50">
        <v>1.527525232E-2</v>
      </c>
      <c r="AP57" s="49"/>
      <c r="AQ57" s="50">
        <v>-0.53666666669999996</v>
      </c>
      <c r="AR57" s="50">
        <v>4.1633319990000001E-2</v>
      </c>
      <c r="AS57" s="49"/>
      <c r="AT57" s="50">
        <v>30.366666670000001</v>
      </c>
      <c r="AU57" s="50">
        <v>3.7859388969999998E-2</v>
      </c>
      <c r="AV57" s="49"/>
      <c r="AW57" s="50">
        <v>0.59466666670000001</v>
      </c>
      <c r="AX57" s="50">
        <v>1.3691035190000001E-2</v>
      </c>
      <c r="AY57" s="51">
        <v>2.3713568550000001E-2</v>
      </c>
      <c r="AZ57" s="51">
        <v>4.6241458669999999E-2</v>
      </c>
      <c r="BA57" s="49"/>
      <c r="BB57" s="50">
        <v>0.28266666670000001</v>
      </c>
      <c r="BC57" s="50">
        <v>2.5008887309999998E-2</v>
      </c>
      <c r="BD57" s="49"/>
      <c r="BE57" s="49"/>
      <c r="BF57" s="49"/>
      <c r="BG57" s="50">
        <v>24.93680226</v>
      </c>
      <c r="BH57" s="50">
        <v>4.5636276220000003</v>
      </c>
      <c r="BI57" s="49"/>
      <c r="BJ57" s="50">
        <v>1.0292926309999999</v>
      </c>
      <c r="BK57" s="49"/>
      <c r="BL57" s="50">
        <f>AVERAGE(BK58:BK60)</f>
        <v>1.0451576214333334</v>
      </c>
      <c r="BM57" s="50">
        <f>STDEV(BK58:BK60)</f>
        <v>1.5748760391356948</v>
      </c>
    </row>
    <row r="58" spans="1:65" x14ac:dyDescent="0.2">
      <c r="A58" s="47" t="s">
        <v>67</v>
      </c>
      <c r="B58" s="53">
        <v>43411.851388888892</v>
      </c>
      <c r="C58" s="47" t="s">
        <v>69</v>
      </c>
      <c r="D58" s="47" t="s">
        <v>537</v>
      </c>
      <c r="E58" s="47" t="s">
        <v>70</v>
      </c>
      <c r="F58" s="53">
        <v>43410.25</v>
      </c>
      <c r="G58" s="47">
        <v>-9.86</v>
      </c>
      <c r="H58" s="47">
        <v>0</v>
      </c>
      <c r="I58" s="47">
        <v>7.52</v>
      </c>
      <c r="J58" s="47">
        <v>0</v>
      </c>
      <c r="K58" s="47">
        <v>38.67</v>
      </c>
      <c r="L58" s="47">
        <v>0</v>
      </c>
      <c r="M58" s="47">
        <v>7.085</v>
      </c>
      <c r="N58" s="47">
        <v>1.2999999999999999E-2</v>
      </c>
      <c r="O58" s="47">
        <v>-0.41799999999999998</v>
      </c>
      <c r="P58" s="47">
        <v>1.2999999999999999E-2</v>
      </c>
      <c r="Q58" s="47">
        <v>26.257000000000001</v>
      </c>
      <c r="R58" s="47">
        <v>6.6000000000000003E-2</v>
      </c>
      <c r="S58" s="47">
        <v>-0.56499999999999995</v>
      </c>
      <c r="T58" s="47">
        <v>6.6000000000000003E-2</v>
      </c>
      <c r="U58" s="47">
        <v>-23.178999999999998</v>
      </c>
      <c r="V58" s="47">
        <v>4.2249999999999996</v>
      </c>
      <c r="W58" s="47">
        <v>-42.802999999999997</v>
      </c>
      <c r="X58" s="47">
        <v>4.141</v>
      </c>
      <c r="Y58" s="47">
        <v>-9.7107649380000008E-3</v>
      </c>
      <c r="Z58" s="47" t="s">
        <v>538</v>
      </c>
      <c r="AA58" s="47">
        <v>-0.34899999999999998</v>
      </c>
      <c r="AB58" s="47">
        <v>1.019137111</v>
      </c>
      <c r="AC58" s="47">
        <v>0.93108196480000005</v>
      </c>
      <c r="AD58" s="47">
        <v>0.57499999999999996</v>
      </c>
      <c r="AE58" s="47">
        <v>0</v>
      </c>
      <c r="AF58" s="47">
        <v>-2.1677035609999999E-2</v>
      </c>
      <c r="AG58" s="47" t="s">
        <v>539</v>
      </c>
      <c r="AH58" s="47">
        <v>4.0000000000000001E-3</v>
      </c>
      <c r="AI58" s="47">
        <v>0.91027428440000002</v>
      </c>
      <c r="AJ58" s="47">
        <v>0.32580981380000001</v>
      </c>
      <c r="AK58" s="47">
        <v>0.33</v>
      </c>
      <c r="AL58" s="47">
        <v>0</v>
      </c>
      <c r="AM58" s="47">
        <v>-9.64</v>
      </c>
      <c r="AN58" s="47"/>
      <c r="AO58" s="47"/>
      <c r="AP58" s="47">
        <v>-0.55000000000000004</v>
      </c>
      <c r="AQ58" s="47"/>
      <c r="AR58" s="47"/>
      <c r="AS58" s="47">
        <v>30.35</v>
      </c>
      <c r="AT58" s="47"/>
      <c r="AU58" s="47"/>
      <c r="AV58" s="47">
        <v>0.57499999999999996</v>
      </c>
      <c r="AW58" s="47"/>
      <c r="AX58" s="47"/>
      <c r="AY58" s="47"/>
      <c r="AZ58" s="47"/>
      <c r="BA58" s="47">
        <v>0.33</v>
      </c>
      <c r="BB58" s="47"/>
      <c r="BC58" s="47"/>
      <c r="BD58" s="47"/>
      <c r="BE58" s="47"/>
      <c r="BF58" s="47">
        <v>31.60253775</v>
      </c>
      <c r="BG58" s="47"/>
      <c r="BH58" s="47"/>
      <c r="BI58" s="47">
        <v>1.027913021</v>
      </c>
      <c r="BJ58" s="47"/>
      <c r="BK58" s="47">
        <v>2.3708029960000001</v>
      </c>
      <c r="BL58" s="47"/>
      <c r="BM58" s="47"/>
    </row>
    <row r="59" spans="1:65" x14ac:dyDescent="0.2">
      <c r="A59" s="47" t="s">
        <v>81</v>
      </c>
      <c r="B59" s="53">
        <v>43412.821527777778</v>
      </c>
      <c r="C59" s="47" t="s">
        <v>69</v>
      </c>
      <c r="D59" s="47" t="s">
        <v>537</v>
      </c>
      <c r="E59" s="47" t="s">
        <v>70</v>
      </c>
      <c r="F59" s="53">
        <v>43410.25</v>
      </c>
      <c r="G59" s="47">
        <v>-9.8699999999999992</v>
      </c>
      <c r="H59" s="47">
        <v>0</v>
      </c>
      <c r="I59" s="47">
        <v>7.5</v>
      </c>
      <c r="J59" s="47">
        <v>0</v>
      </c>
      <c r="K59" s="47">
        <v>38.659999999999997</v>
      </c>
      <c r="L59" s="47">
        <v>0</v>
      </c>
      <c r="M59" s="47">
        <v>7.0739999999999998</v>
      </c>
      <c r="N59" s="47">
        <v>1.6E-2</v>
      </c>
      <c r="O59" s="47">
        <v>-0.40500000000000003</v>
      </c>
      <c r="P59" s="47">
        <v>1.4999999999999999E-2</v>
      </c>
      <c r="Q59" s="47">
        <v>26.212</v>
      </c>
      <c r="R59" s="47">
        <v>4.9000000000000002E-2</v>
      </c>
      <c r="S59" s="47">
        <v>-0.58399999999999996</v>
      </c>
      <c r="T59" s="47">
        <v>4.7E-2</v>
      </c>
      <c r="U59" s="47">
        <v>-12.475</v>
      </c>
      <c r="V59" s="47">
        <v>4.2869999999999999</v>
      </c>
      <c r="W59" s="47">
        <v>-32.28</v>
      </c>
      <c r="X59" s="47">
        <v>4.2030000000000003</v>
      </c>
      <c r="Y59" s="47">
        <v>-9.7112510299999996E-3</v>
      </c>
      <c r="Z59" s="47" t="s">
        <v>540</v>
      </c>
      <c r="AA59" s="47">
        <v>-0.33600000000000002</v>
      </c>
      <c r="AB59" s="47">
        <v>1.019137111</v>
      </c>
      <c r="AC59" s="47">
        <v>0.93108196480000005</v>
      </c>
      <c r="AD59" s="47">
        <v>0.58799999999999997</v>
      </c>
      <c r="AE59" s="47">
        <v>0</v>
      </c>
      <c r="AF59" s="47">
        <v>-1.8866746810000001E-2</v>
      </c>
      <c r="AG59" s="47" t="s">
        <v>541</v>
      </c>
      <c r="AH59" s="47">
        <v>-8.8999999999999996E-2</v>
      </c>
      <c r="AI59" s="47">
        <v>0.91027428440000002</v>
      </c>
      <c r="AJ59" s="47">
        <v>0.32580981380000001</v>
      </c>
      <c r="AK59" s="47">
        <v>0.245</v>
      </c>
      <c r="AL59" s="47">
        <v>0</v>
      </c>
      <c r="AM59" s="47">
        <v>-9.65</v>
      </c>
      <c r="AN59" s="47"/>
      <c r="AO59" s="47"/>
      <c r="AP59" s="47">
        <v>-0.56999999999999995</v>
      </c>
      <c r="AQ59" s="47"/>
      <c r="AR59" s="47"/>
      <c r="AS59" s="47">
        <v>30.34</v>
      </c>
      <c r="AT59" s="47"/>
      <c r="AU59" s="47"/>
      <c r="AV59" s="47">
        <v>0.58799999999999997</v>
      </c>
      <c r="AW59" s="47"/>
      <c r="AX59" s="47"/>
      <c r="AY59" s="47"/>
      <c r="AZ59" s="47"/>
      <c r="BA59" s="47">
        <v>0.245</v>
      </c>
      <c r="BB59" s="47"/>
      <c r="BC59" s="47"/>
      <c r="BD59" s="47"/>
      <c r="BE59" s="47"/>
      <c r="BF59" s="47">
        <v>27.00357052</v>
      </c>
      <c r="BG59" s="47"/>
      <c r="BH59" s="47"/>
      <c r="BI59" s="47">
        <v>1.0288374819999999</v>
      </c>
      <c r="BJ59" s="47"/>
      <c r="BK59" s="47">
        <v>1.460403946</v>
      </c>
      <c r="BL59" s="47"/>
      <c r="BM59" s="47"/>
    </row>
    <row r="60" spans="1:65" x14ac:dyDescent="0.2">
      <c r="A60" s="47" t="s">
        <v>89</v>
      </c>
      <c r="B60" s="53">
        <v>43413.750694444447</v>
      </c>
      <c r="C60" s="47" t="s">
        <v>69</v>
      </c>
      <c r="D60" s="47" t="s">
        <v>537</v>
      </c>
      <c r="E60" s="47" t="s">
        <v>70</v>
      </c>
      <c r="F60" s="53">
        <v>43410.25</v>
      </c>
      <c r="G60" s="47">
        <v>-9.83</v>
      </c>
      <c r="H60" s="47">
        <v>0</v>
      </c>
      <c r="I60" s="47">
        <v>7.58</v>
      </c>
      <c r="J60" s="47">
        <v>0</v>
      </c>
      <c r="K60" s="47">
        <v>38.729999999999997</v>
      </c>
      <c r="L60" s="47">
        <v>0</v>
      </c>
      <c r="M60" s="47">
        <v>7.2149999999999999</v>
      </c>
      <c r="N60" s="47">
        <v>1.2999999999999999E-2</v>
      </c>
      <c r="O60" s="47">
        <v>-0.375</v>
      </c>
      <c r="P60" s="47">
        <v>1.2999999999999999E-2</v>
      </c>
      <c r="Q60" s="47">
        <v>26.379000000000001</v>
      </c>
      <c r="R60" s="47">
        <v>8.3000000000000004E-2</v>
      </c>
      <c r="S60" s="47">
        <v>-0.56499999999999995</v>
      </c>
      <c r="T60" s="47">
        <v>0.08</v>
      </c>
      <c r="U60" s="47">
        <v>-19.738</v>
      </c>
      <c r="V60" s="47">
        <v>3.8260000000000001</v>
      </c>
      <c r="W60" s="47">
        <v>-39.572000000000003</v>
      </c>
      <c r="X60" s="47">
        <v>3.7490000000000001</v>
      </c>
      <c r="Y60" s="47">
        <v>-9.7761866480000001E-3</v>
      </c>
      <c r="Z60" s="47" t="s">
        <v>542</v>
      </c>
      <c r="AA60" s="47">
        <v>-0.30499999999999999</v>
      </c>
      <c r="AB60" s="47">
        <v>1.0265298730000001</v>
      </c>
      <c r="AC60" s="47">
        <v>0.93358200739999997</v>
      </c>
      <c r="AD60" s="47">
        <v>0.621</v>
      </c>
      <c r="AE60" s="47">
        <v>0</v>
      </c>
      <c r="AF60" s="47">
        <v>-1.919613718E-2</v>
      </c>
      <c r="AG60" s="47" t="s">
        <v>543</v>
      </c>
      <c r="AH60" s="47">
        <v>-5.8000000000000003E-2</v>
      </c>
      <c r="AI60" s="47">
        <v>0.91027428440000002</v>
      </c>
      <c r="AJ60" s="47">
        <v>0.32580981380000001</v>
      </c>
      <c r="AK60" s="47">
        <v>0.27300000000000002</v>
      </c>
      <c r="AL60" s="47">
        <v>0</v>
      </c>
      <c r="AM60" s="47">
        <v>-9.6199999999999992</v>
      </c>
      <c r="AN60" s="47"/>
      <c r="AO60" s="47"/>
      <c r="AP60" s="47">
        <v>-0.49</v>
      </c>
      <c r="AQ60" s="47"/>
      <c r="AR60" s="47"/>
      <c r="AS60" s="47">
        <v>30.41</v>
      </c>
      <c r="AT60" s="47"/>
      <c r="AU60" s="47"/>
      <c r="AV60" s="47">
        <v>0.621</v>
      </c>
      <c r="AW60" s="47"/>
      <c r="AX60" s="47"/>
      <c r="AY60" s="47"/>
      <c r="AZ60" s="47"/>
      <c r="BA60" s="47">
        <v>0.27300000000000002</v>
      </c>
      <c r="BB60" s="47"/>
      <c r="BC60" s="47"/>
      <c r="BD60" s="47"/>
      <c r="BE60" s="47"/>
      <c r="BF60" s="47">
        <v>16.204298510000001</v>
      </c>
      <c r="BG60" s="47"/>
      <c r="BH60" s="47"/>
      <c r="BI60" s="47">
        <v>1.03112739</v>
      </c>
      <c r="BJ60" s="47"/>
      <c r="BK60" s="47">
        <v>-0.69573407769999995</v>
      </c>
      <c r="BL60" s="47"/>
      <c r="BM60" s="47"/>
    </row>
    <row r="61" spans="1:65" x14ac:dyDescent="0.2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</row>
    <row r="62" spans="1:65" s="52" customFormat="1" x14ac:dyDescent="0.2">
      <c r="A62" s="50" t="s">
        <v>544</v>
      </c>
      <c r="B62" s="49"/>
      <c r="C62" s="49"/>
      <c r="D62" s="49"/>
      <c r="E62" s="49"/>
      <c r="F62" s="49"/>
      <c r="G62" s="49"/>
      <c r="H62" s="50">
        <v>2.7284509240000001E-2</v>
      </c>
      <c r="I62" s="49"/>
      <c r="J62" s="50">
        <v>1.527525232E-2</v>
      </c>
      <c r="K62" s="49"/>
      <c r="L62" s="50">
        <v>1.763834207E-2</v>
      </c>
      <c r="M62" s="49"/>
      <c r="N62" s="50">
        <v>4.3590263949999999E-2</v>
      </c>
      <c r="O62" s="49"/>
      <c r="P62" s="50">
        <v>2.6457513110000001E-3</v>
      </c>
      <c r="Q62" s="49"/>
      <c r="R62" s="50">
        <v>4.8167531710000003E-2</v>
      </c>
      <c r="S62" s="49"/>
      <c r="T62" s="50">
        <v>4.8521472910000002E-2</v>
      </c>
      <c r="U62" s="49"/>
      <c r="V62" s="50">
        <v>0.78046190029999996</v>
      </c>
      <c r="W62" s="49"/>
      <c r="X62" s="50">
        <v>0.80954150260000002</v>
      </c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50">
        <v>-9.6266666670000003</v>
      </c>
      <c r="AO62" s="50">
        <v>4.1633319990000001E-2</v>
      </c>
      <c r="AP62" s="49"/>
      <c r="AQ62" s="50">
        <v>-0.12666666670000001</v>
      </c>
      <c r="AR62" s="50">
        <v>2.5166114779999998E-2</v>
      </c>
      <c r="AS62" s="49"/>
      <c r="AT62" s="50">
        <v>30.79</v>
      </c>
      <c r="AU62" s="50">
        <v>2.6457513110000001E-2</v>
      </c>
      <c r="AV62" s="49"/>
      <c r="AW62" s="50">
        <v>0.59333333330000004</v>
      </c>
      <c r="AX62" s="50">
        <v>3.1797973380000002E-3</v>
      </c>
      <c r="AY62" s="51">
        <v>5.5075705469999998E-3</v>
      </c>
      <c r="AZ62" s="51">
        <v>1.073976257E-2</v>
      </c>
      <c r="BA62" s="49"/>
      <c r="BB62" s="50">
        <v>0.1653333333</v>
      </c>
      <c r="BC62" s="50">
        <v>2.8339215080000001E-2</v>
      </c>
      <c r="BD62" s="49"/>
      <c r="BE62" s="49"/>
      <c r="BF62" s="49"/>
      <c r="BG62" s="50">
        <v>25.187845759999998</v>
      </c>
      <c r="BH62" s="50">
        <v>1.0788125049999999</v>
      </c>
      <c r="BI62" s="49"/>
      <c r="BJ62" s="50">
        <v>1.029212215</v>
      </c>
      <c r="BK62" s="49"/>
      <c r="BL62" s="50">
        <f>AVERAGE(BK63:BK65)</f>
        <v>1.5330907803333333</v>
      </c>
      <c r="BM62" s="50">
        <f>STDEV(BK63:BK65)</f>
        <v>0.35153693348589277</v>
      </c>
    </row>
    <row r="63" spans="1:65" x14ac:dyDescent="0.2">
      <c r="A63" s="47" t="s">
        <v>67</v>
      </c>
      <c r="B63" s="53">
        <v>43411.938888888886</v>
      </c>
      <c r="C63" s="47" t="s">
        <v>69</v>
      </c>
      <c r="D63" s="47" t="s">
        <v>544</v>
      </c>
      <c r="E63" s="47" t="s">
        <v>70</v>
      </c>
      <c r="F63" s="53">
        <v>43410.25</v>
      </c>
      <c r="G63" s="47">
        <v>-9.86</v>
      </c>
      <c r="H63" s="47">
        <v>0</v>
      </c>
      <c r="I63" s="47">
        <v>7.94</v>
      </c>
      <c r="J63" s="47">
        <v>0</v>
      </c>
      <c r="K63" s="47">
        <v>39.11</v>
      </c>
      <c r="L63" s="47">
        <v>0</v>
      </c>
      <c r="M63" s="47">
        <v>7.5259999999999998</v>
      </c>
      <c r="N63" s="47">
        <v>1.2E-2</v>
      </c>
      <c r="O63" s="47">
        <v>-0.40400000000000003</v>
      </c>
      <c r="P63" s="47">
        <v>1.2E-2</v>
      </c>
      <c r="Q63" s="47">
        <v>26.888999999999999</v>
      </c>
      <c r="R63" s="47">
        <v>5.7000000000000002E-2</v>
      </c>
      <c r="S63" s="47">
        <v>-0.79200000000000004</v>
      </c>
      <c r="T63" s="47">
        <v>5.6000000000000001E-2</v>
      </c>
      <c r="U63" s="47">
        <v>-18.073</v>
      </c>
      <c r="V63" s="47">
        <v>3.181</v>
      </c>
      <c r="W63" s="47">
        <v>-38.606999999999999</v>
      </c>
      <c r="X63" s="47">
        <v>3.1139999999999999</v>
      </c>
      <c r="Y63" s="47">
        <v>-9.7107649380000008E-3</v>
      </c>
      <c r="Z63" s="47" t="s">
        <v>545</v>
      </c>
      <c r="AA63" s="47">
        <v>-0.33100000000000002</v>
      </c>
      <c r="AB63" s="47">
        <v>1.019137111</v>
      </c>
      <c r="AC63" s="47">
        <v>0.93108196480000005</v>
      </c>
      <c r="AD63" s="47">
        <v>0.59299999999999997</v>
      </c>
      <c r="AE63" s="47">
        <v>0</v>
      </c>
      <c r="AF63" s="47">
        <v>-2.1677035609999999E-2</v>
      </c>
      <c r="AG63" s="47" t="s">
        <v>546</v>
      </c>
      <c r="AH63" s="47">
        <v>-0.20899999999999999</v>
      </c>
      <c r="AI63" s="47">
        <v>0.91027428440000002</v>
      </c>
      <c r="AJ63" s="47">
        <v>0.32580981380000001</v>
      </c>
      <c r="AK63" s="47">
        <v>0.13600000000000001</v>
      </c>
      <c r="AL63" s="47">
        <v>0</v>
      </c>
      <c r="AM63" s="47">
        <v>-9.64</v>
      </c>
      <c r="AN63" s="47"/>
      <c r="AO63" s="47"/>
      <c r="AP63" s="47">
        <v>-0.13</v>
      </c>
      <c r="AQ63" s="47"/>
      <c r="AR63" s="47"/>
      <c r="AS63" s="47">
        <v>30.78</v>
      </c>
      <c r="AT63" s="47"/>
      <c r="AU63" s="47"/>
      <c r="AV63" s="47">
        <v>0.59299999999999997</v>
      </c>
      <c r="AW63" s="47"/>
      <c r="AX63" s="47"/>
      <c r="AY63" s="47"/>
      <c r="AZ63" s="47"/>
      <c r="BA63" s="47">
        <v>0.13600000000000001</v>
      </c>
      <c r="BB63" s="47"/>
      <c r="BC63" s="47"/>
      <c r="BD63" s="47"/>
      <c r="BE63" s="47"/>
      <c r="BF63" s="47">
        <v>25.289372780000001</v>
      </c>
      <c r="BG63" s="47"/>
      <c r="BH63" s="47"/>
      <c r="BI63" s="47">
        <v>1.0291895689999999</v>
      </c>
      <c r="BJ63" s="47"/>
      <c r="BK63" s="47">
        <v>1.5453240640000001</v>
      </c>
      <c r="BL63" s="47"/>
      <c r="BM63" s="47"/>
    </row>
    <row r="64" spans="1:65" x14ac:dyDescent="0.2">
      <c r="A64" s="47" t="s">
        <v>81</v>
      </c>
      <c r="B64" s="53">
        <v>43412.910416666666</v>
      </c>
      <c r="C64" s="47" t="s">
        <v>69</v>
      </c>
      <c r="D64" s="47" t="s">
        <v>544</v>
      </c>
      <c r="E64" s="47" t="s">
        <v>70</v>
      </c>
      <c r="F64" s="53">
        <v>43410.25</v>
      </c>
      <c r="G64" s="47">
        <v>-9.8800000000000008</v>
      </c>
      <c r="H64" s="47">
        <v>0</v>
      </c>
      <c r="I64" s="47">
        <v>7.93</v>
      </c>
      <c r="J64" s="47">
        <v>0</v>
      </c>
      <c r="K64" s="47">
        <v>39.090000000000003</v>
      </c>
      <c r="L64" s="47">
        <v>0</v>
      </c>
      <c r="M64" s="47">
        <v>7.49</v>
      </c>
      <c r="N64" s="47">
        <v>8.9999999999999993E-3</v>
      </c>
      <c r="O64" s="47">
        <v>-0.41</v>
      </c>
      <c r="P64" s="47">
        <v>0.01</v>
      </c>
      <c r="Q64" s="47">
        <v>27.033999999999999</v>
      </c>
      <c r="R64" s="47">
        <v>6.0999999999999999E-2</v>
      </c>
      <c r="S64" s="47">
        <v>-0.625</v>
      </c>
      <c r="T64" s="47">
        <v>5.8999999999999997E-2</v>
      </c>
      <c r="U64" s="47">
        <v>-19.045999999999999</v>
      </c>
      <c r="V64" s="47">
        <v>3.222</v>
      </c>
      <c r="W64" s="47">
        <v>-39.515999999999998</v>
      </c>
      <c r="X64" s="47">
        <v>3.1549999999999998</v>
      </c>
      <c r="Y64" s="47">
        <v>-9.7112510299999996E-3</v>
      </c>
      <c r="Z64" s="47" t="s">
        <v>547</v>
      </c>
      <c r="AA64" s="47">
        <v>-0.33700000000000002</v>
      </c>
      <c r="AB64" s="47">
        <v>1.019137111</v>
      </c>
      <c r="AC64" s="47">
        <v>0.93108196480000005</v>
      </c>
      <c r="AD64" s="47">
        <v>0.58799999999999997</v>
      </c>
      <c r="AE64" s="47">
        <v>0</v>
      </c>
      <c r="AF64" s="47">
        <v>-1.8866746810000001E-2</v>
      </c>
      <c r="AG64" s="47" t="s">
        <v>548</v>
      </c>
      <c r="AH64" s="47">
        <v>-0.115</v>
      </c>
      <c r="AI64" s="47">
        <v>0.91027428440000002</v>
      </c>
      <c r="AJ64" s="47">
        <v>0.32580981380000001</v>
      </c>
      <c r="AK64" s="47">
        <v>0.222</v>
      </c>
      <c r="AL64" s="47">
        <v>0</v>
      </c>
      <c r="AM64" s="47">
        <v>-9.66</v>
      </c>
      <c r="AN64" s="47"/>
      <c r="AO64" s="47"/>
      <c r="AP64" s="47">
        <v>-0.15</v>
      </c>
      <c r="AQ64" s="47"/>
      <c r="AR64" s="47"/>
      <c r="AS64" s="47">
        <v>30.77</v>
      </c>
      <c r="AT64" s="47"/>
      <c r="AU64" s="47"/>
      <c r="AV64" s="47">
        <v>0.58799999999999997</v>
      </c>
      <c r="AW64" s="47"/>
      <c r="AX64" s="47"/>
      <c r="AY64" s="47"/>
      <c r="AZ64" s="47"/>
      <c r="BA64" s="47">
        <v>0.222</v>
      </c>
      <c r="BB64" s="47"/>
      <c r="BC64" s="47"/>
      <c r="BD64" s="47"/>
      <c r="BE64" s="47"/>
      <c r="BF64" s="47">
        <v>27.00357052</v>
      </c>
      <c r="BG64" s="47"/>
      <c r="BH64" s="47"/>
      <c r="BI64" s="47">
        <v>1.0288374819999999</v>
      </c>
      <c r="BJ64" s="47"/>
      <c r="BK64" s="47">
        <v>1.8783513940000001</v>
      </c>
      <c r="BL64" s="47"/>
      <c r="BM64" s="47"/>
    </row>
    <row r="65" spans="1:65" x14ac:dyDescent="0.2">
      <c r="A65" s="47" t="s">
        <v>89</v>
      </c>
      <c r="B65" s="53">
        <v>43413.838194444441</v>
      </c>
      <c r="C65" s="47" t="s">
        <v>69</v>
      </c>
      <c r="D65" s="47" t="s">
        <v>544</v>
      </c>
      <c r="E65" s="47" t="s">
        <v>70</v>
      </c>
      <c r="F65" s="53">
        <v>43410.25</v>
      </c>
      <c r="G65" s="47">
        <v>-9.7899999999999991</v>
      </c>
      <c r="H65" s="47">
        <v>0</v>
      </c>
      <c r="I65" s="47">
        <v>7.98</v>
      </c>
      <c r="J65" s="47">
        <v>0</v>
      </c>
      <c r="K65" s="47">
        <v>39.15</v>
      </c>
      <c r="L65" s="47">
        <v>0</v>
      </c>
      <c r="M65" s="47">
        <v>7.6349999999999998</v>
      </c>
      <c r="N65" s="47">
        <v>1.7999999999999999E-2</v>
      </c>
      <c r="O65" s="47">
        <v>-0.40100000000000002</v>
      </c>
      <c r="P65" s="47">
        <v>1.7000000000000001E-2</v>
      </c>
      <c r="Q65" s="47">
        <v>27.033000000000001</v>
      </c>
      <c r="R65" s="47">
        <v>5.2999999999999999E-2</v>
      </c>
      <c r="S65" s="47">
        <v>-0.72499999999999998</v>
      </c>
      <c r="T65" s="47">
        <v>5.1999999999999998E-2</v>
      </c>
      <c r="U65" s="47">
        <v>-20.744</v>
      </c>
      <c r="V65" s="47">
        <v>4.7309999999999999</v>
      </c>
      <c r="W65" s="47">
        <v>-41.359000000000002</v>
      </c>
      <c r="X65" s="47">
        <v>4.63</v>
      </c>
      <c r="Y65" s="47">
        <v>-9.7761866480000001E-3</v>
      </c>
      <c r="Z65" s="47" t="s">
        <v>549</v>
      </c>
      <c r="AA65" s="47">
        <v>-0.32600000000000001</v>
      </c>
      <c r="AB65" s="47">
        <v>1.0265298730000001</v>
      </c>
      <c r="AC65" s="47">
        <v>0.93358200739999997</v>
      </c>
      <c r="AD65" s="47">
        <v>0.59899999999999998</v>
      </c>
      <c r="AE65" s="47">
        <v>0</v>
      </c>
      <c r="AF65" s="47">
        <v>-1.919613718E-2</v>
      </c>
      <c r="AG65" s="47" t="s">
        <v>550</v>
      </c>
      <c r="AH65" s="47">
        <v>-0.20599999999999999</v>
      </c>
      <c r="AI65" s="47">
        <v>0.91027428440000002</v>
      </c>
      <c r="AJ65" s="47">
        <v>0.32580981380000001</v>
      </c>
      <c r="AK65" s="47">
        <v>0.13800000000000001</v>
      </c>
      <c r="AL65" s="47">
        <v>0</v>
      </c>
      <c r="AM65" s="47">
        <v>-9.58</v>
      </c>
      <c r="AN65" s="47"/>
      <c r="AO65" s="47"/>
      <c r="AP65" s="47">
        <v>-0.1</v>
      </c>
      <c r="AQ65" s="47"/>
      <c r="AR65" s="47"/>
      <c r="AS65" s="47">
        <v>30.82</v>
      </c>
      <c r="AT65" s="47"/>
      <c r="AU65" s="47"/>
      <c r="AV65" s="47">
        <v>0.59899999999999998</v>
      </c>
      <c r="AW65" s="47"/>
      <c r="AX65" s="47"/>
      <c r="AY65" s="47"/>
      <c r="AZ65" s="47"/>
      <c r="BA65" s="47">
        <v>0.13800000000000001</v>
      </c>
      <c r="BB65" s="47"/>
      <c r="BC65" s="47"/>
      <c r="BD65" s="47"/>
      <c r="BE65" s="47"/>
      <c r="BF65" s="47">
        <v>23.270593989999998</v>
      </c>
      <c r="BG65" s="47"/>
      <c r="BH65" s="47"/>
      <c r="BI65" s="47">
        <v>1.0296095940000001</v>
      </c>
      <c r="BJ65" s="47"/>
      <c r="BK65" s="47">
        <v>1.1755968830000001</v>
      </c>
      <c r="BL65" s="47"/>
      <c r="BM65" s="47"/>
    </row>
    <row r="66" spans="1:65" x14ac:dyDescent="0.2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</row>
    <row r="67" spans="1:65" s="52" customFormat="1" x14ac:dyDescent="0.2">
      <c r="A67" s="50" t="s">
        <v>551</v>
      </c>
      <c r="B67" s="49"/>
      <c r="C67" s="49"/>
      <c r="D67" s="49"/>
      <c r="E67" s="49"/>
      <c r="F67" s="49"/>
      <c r="G67" s="49"/>
      <c r="H67" s="50">
        <v>2.02758751E-2</v>
      </c>
      <c r="I67" s="49"/>
      <c r="J67" s="50">
        <v>1.452966315E-2</v>
      </c>
      <c r="K67" s="49"/>
      <c r="L67" s="50">
        <v>1.7320508080000001E-2</v>
      </c>
      <c r="M67" s="49"/>
      <c r="N67" s="50">
        <v>1.08371788E-2</v>
      </c>
      <c r="O67" s="49"/>
      <c r="P67" s="50">
        <v>1.479864859E-2</v>
      </c>
      <c r="Q67" s="49"/>
      <c r="R67" s="50">
        <v>4.798726683E-2</v>
      </c>
      <c r="S67" s="49"/>
      <c r="T67" s="50">
        <v>3.4454478830000003E-2</v>
      </c>
      <c r="U67" s="49"/>
      <c r="V67" s="50">
        <v>3.292497043</v>
      </c>
      <c r="W67" s="49"/>
      <c r="X67" s="50">
        <v>3.239222335</v>
      </c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50">
        <v>-11.27333333</v>
      </c>
      <c r="AO67" s="50">
        <v>3.5118845840000003E-2</v>
      </c>
      <c r="AP67" s="49"/>
      <c r="AQ67" s="50">
        <v>-0.34</v>
      </c>
      <c r="AR67" s="50">
        <v>0.03</v>
      </c>
      <c r="AS67" s="49"/>
      <c r="AT67" s="50">
        <v>30.57</v>
      </c>
      <c r="AU67" s="50">
        <v>0.03</v>
      </c>
      <c r="AV67" s="49"/>
      <c r="AW67" s="50">
        <v>0.59499999999999997</v>
      </c>
      <c r="AX67" s="50">
        <v>1.537313674E-2</v>
      </c>
      <c r="AY67" s="51">
        <v>2.662705391E-2</v>
      </c>
      <c r="AZ67" s="51">
        <v>5.1922755129999998E-2</v>
      </c>
      <c r="BA67" s="49"/>
      <c r="BB67" s="50">
        <v>0.27766666670000001</v>
      </c>
      <c r="BC67" s="50">
        <v>4.5986713059999997E-2</v>
      </c>
      <c r="BD67" s="49"/>
      <c r="BE67" s="49"/>
      <c r="BF67" s="49"/>
      <c r="BG67" s="50">
        <v>24.88626361</v>
      </c>
      <c r="BH67" s="50">
        <v>5.2428151940000003</v>
      </c>
      <c r="BI67" s="49"/>
      <c r="BJ67" s="50">
        <v>1.0293121160000001</v>
      </c>
      <c r="BK67" s="49"/>
      <c r="BL67" s="50">
        <f>AVERAGE(BK68:BK70)</f>
        <v>1.2242347273666667</v>
      </c>
      <c r="BM67" s="50">
        <f>STDEV(BK68:BK70)</f>
        <v>1.7918177483606925</v>
      </c>
    </row>
    <row r="68" spans="1:65" x14ac:dyDescent="0.2">
      <c r="A68" s="47" t="s">
        <v>67</v>
      </c>
      <c r="B68" s="53">
        <v>43412.116666666669</v>
      </c>
      <c r="C68" s="47" t="s">
        <v>69</v>
      </c>
      <c r="D68" s="47" t="s">
        <v>551</v>
      </c>
      <c r="E68" s="47" t="s">
        <v>70</v>
      </c>
      <c r="F68" s="53">
        <v>43410.25</v>
      </c>
      <c r="G68" s="47">
        <v>-11.46</v>
      </c>
      <c r="H68" s="47">
        <v>0</v>
      </c>
      <c r="I68" s="47">
        <v>7.71</v>
      </c>
      <c r="J68" s="47">
        <v>0</v>
      </c>
      <c r="K68" s="47">
        <v>38.86</v>
      </c>
      <c r="L68" s="47">
        <v>0</v>
      </c>
      <c r="M68" s="47">
        <v>5.7080000000000002</v>
      </c>
      <c r="N68" s="47">
        <v>7.0000000000000001E-3</v>
      </c>
      <c r="O68" s="47">
        <v>-0.41299999999999998</v>
      </c>
      <c r="P68" s="47">
        <v>8.0000000000000002E-3</v>
      </c>
      <c r="Q68" s="47">
        <v>26.66</v>
      </c>
      <c r="R68" s="47">
        <v>6.0999999999999999E-2</v>
      </c>
      <c r="S68" s="47">
        <v>-0.54</v>
      </c>
      <c r="T68" s="47">
        <v>6.2E-2</v>
      </c>
      <c r="U68" s="47">
        <v>-19.599</v>
      </c>
      <c r="V68" s="47">
        <v>5.157</v>
      </c>
      <c r="W68" s="47">
        <v>-38.1</v>
      </c>
      <c r="X68" s="47">
        <v>5.0599999999999996</v>
      </c>
      <c r="Y68" s="47">
        <v>-9.7107649380000008E-3</v>
      </c>
      <c r="Z68" s="47" t="s">
        <v>552</v>
      </c>
      <c r="AA68" s="47">
        <v>-0.35799999999999998</v>
      </c>
      <c r="AB68" s="47">
        <v>1.019137111</v>
      </c>
      <c r="AC68" s="47">
        <v>0.93108196480000005</v>
      </c>
      <c r="AD68" s="47">
        <v>0.56699999999999995</v>
      </c>
      <c r="AE68" s="47">
        <v>0</v>
      </c>
      <c r="AF68" s="47">
        <v>-2.1677035609999999E-2</v>
      </c>
      <c r="AG68" s="47" t="s">
        <v>553</v>
      </c>
      <c r="AH68" s="47">
        <v>3.7999999999999999E-2</v>
      </c>
      <c r="AI68" s="47">
        <v>0.91027428440000002</v>
      </c>
      <c r="AJ68" s="47">
        <v>0.32580981380000001</v>
      </c>
      <c r="AK68" s="47">
        <v>0.36</v>
      </c>
      <c r="AL68" s="47">
        <v>0</v>
      </c>
      <c r="AM68" s="47">
        <v>-11.24</v>
      </c>
      <c r="AN68" s="47"/>
      <c r="AO68" s="47"/>
      <c r="AP68" s="47">
        <v>-0.37</v>
      </c>
      <c r="AQ68" s="47"/>
      <c r="AR68" s="47"/>
      <c r="AS68" s="47">
        <v>30.54</v>
      </c>
      <c r="AT68" s="47"/>
      <c r="AU68" s="47"/>
      <c r="AV68" s="47">
        <v>0.56699999999999995</v>
      </c>
      <c r="AW68" s="47"/>
      <c r="AX68" s="47"/>
      <c r="AY68" s="47"/>
      <c r="AZ68" s="47"/>
      <c r="BA68" s="47">
        <v>0.36</v>
      </c>
      <c r="BB68" s="47"/>
      <c r="BC68" s="47"/>
      <c r="BD68" s="47"/>
      <c r="BE68" s="47"/>
      <c r="BF68" s="47">
        <v>34.539979500000001</v>
      </c>
      <c r="BG68" s="47"/>
      <c r="BH68" s="47"/>
      <c r="BI68" s="47">
        <v>1.0273374340000001</v>
      </c>
      <c r="BJ68" s="47"/>
      <c r="BK68" s="47">
        <v>3.1173458529999998</v>
      </c>
      <c r="BL68" s="47"/>
      <c r="BM68" s="47"/>
    </row>
    <row r="69" spans="1:65" x14ac:dyDescent="0.2">
      <c r="A69" s="47" t="s">
        <v>81</v>
      </c>
      <c r="B69" s="53">
        <v>43413.926388888889</v>
      </c>
      <c r="C69" s="47" t="s">
        <v>69</v>
      </c>
      <c r="D69" s="47" t="s">
        <v>551</v>
      </c>
      <c r="E69" s="47" t="s">
        <v>70</v>
      </c>
      <c r="F69" s="53">
        <v>43410.25</v>
      </c>
      <c r="G69" s="47">
        <v>-11.49</v>
      </c>
      <c r="H69" s="47">
        <v>0</v>
      </c>
      <c r="I69" s="47">
        <v>7.73</v>
      </c>
      <c r="J69" s="47">
        <v>0</v>
      </c>
      <c r="K69" s="47">
        <v>38.89</v>
      </c>
      <c r="L69" s="47">
        <v>0</v>
      </c>
      <c r="M69" s="47">
        <v>5.7320000000000002</v>
      </c>
      <c r="N69" s="47">
        <v>8.0000000000000002E-3</v>
      </c>
      <c r="O69" s="47">
        <v>-0.38300000000000001</v>
      </c>
      <c r="P69" s="47">
        <v>8.0000000000000002E-3</v>
      </c>
      <c r="Q69" s="47">
        <v>26.594999999999999</v>
      </c>
      <c r="R69" s="47">
        <v>5.5E-2</v>
      </c>
      <c r="S69" s="47">
        <v>-0.64800000000000002</v>
      </c>
      <c r="T69" s="47">
        <v>5.5E-2</v>
      </c>
      <c r="U69" s="47">
        <v>-18.079999999999998</v>
      </c>
      <c r="V69" s="47">
        <v>3.5179999999999998</v>
      </c>
      <c r="W69" s="47">
        <v>-36.622</v>
      </c>
      <c r="X69" s="47">
        <v>3.448</v>
      </c>
      <c r="Y69" s="47">
        <v>-9.7761866480000001E-3</v>
      </c>
      <c r="Z69" s="47" t="s">
        <v>554</v>
      </c>
      <c r="AA69" s="47">
        <v>-0.32700000000000001</v>
      </c>
      <c r="AB69" s="47">
        <v>1.0265298730000001</v>
      </c>
      <c r="AC69" s="47">
        <v>0.93358200739999997</v>
      </c>
      <c r="AD69" s="47">
        <v>0.59799999999999998</v>
      </c>
      <c r="AE69" s="47">
        <v>0</v>
      </c>
      <c r="AF69" s="47">
        <v>-1.919613718E-2</v>
      </c>
      <c r="AG69" s="47" t="s">
        <v>555</v>
      </c>
      <c r="AH69" s="47">
        <v>-0.13700000000000001</v>
      </c>
      <c r="AI69" s="47">
        <v>0.91027428440000002</v>
      </c>
      <c r="AJ69" s="47">
        <v>0.32580981380000001</v>
      </c>
      <c r="AK69" s="47">
        <v>0.20100000000000001</v>
      </c>
      <c r="AL69" s="47">
        <v>0</v>
      </c>
      <c r="AM69" s="47">
        <v>-11.27</v>
      </c>
      <c r="AN69" s="47"/>
      <c r="AO69" s="47"/>
      <c r="AP69" s="47">
        <v>-0.34</v>
      </c>
      <c r="AQ69" s="47"/>
      <c r="AR69" s="47"/>
      <c r="AS69" s="47">
        <v>30.57</v>
      </c>
      <c r="AT69" s="47"/>
      <c r="AU69" s="47"/>
      <c r="AV69" s="47">
        <v>0.59799999999999998</v>
      </c>
      <c r="AW69" s="47"/>
      <c r="AX69" s="47"/>
      <c r="AY69" s="47"/>
      <c r="AZ69" s="47"/>
      <c r="BA69" s="47">
        <v>0.20100000000000001</v>
      </c>
      <c r="BB69" s="47"/>
      <c r="BC69" s="47"/>
      <c r="BD69" s="47"/>
      <c r="BE69" s="47"/>
      <c r="BF69" s="47">
        <v>23.604213219999998</v>
      </c>
      <c r="BG69" s="47"/>
      <c r="BH69" s="47"/>
      <c r="BI69" s="47">
        <v>1.029539776</v>
      </c>
      <c r="BJ69" s="47"/>
      <c r="BK69" s="47">
        <v>1.000665017</v>
      </c>
      <c r="BL69" s="47"/>
      <c r="BM69" s="47"/>
    </row>
    <row r="70" spans="1:65" x14ac:dyDescent="0.2">
      <c r="A70" s="47" t="s">
        <v>89</v>
      </c>
      <c r="B70" s="53">
        <v>43414.697916666664</v>
      </c>
      <c r="C70" s="47" t="s">
        <v>69</v>
      </c>
      <c r="D70" s="47" t="s">
        <v>551</v>
      </c>
      <c r="E70" s="47" t="s">
        <v>70</v>
      </c>
      <c r="F70" s="53">
        <v>43410.25</v>
      </c>
      <c r="G70" s="47">
        <v>-11.53</v>
      </c>
      <c r="H70" s="47">
        <v>0</v>
      </c>
      <c r="I70" s="47">
        <v>7.76</v>
      </c>
      <c r="J70" s="47">
        <v>0</v>
      </c>
      <c r="K70" s="47">
        <v>38.92</v>
      </c>
      <c r="L70" s="47">
        <v>0</v>
      </c>
      <c r="M70" s="47">
        <v>5.7450000000000001</v>
      </c>
      <c r="N70" s="47">
        <v>1.2E-2</v>
      </c>
      <c r="O70" s="47">
        <v>-0.36199999999999999</v>
      </c>
      <c r="P70" s="47">
        <v>1.0999999999999999E-2</v>
      </c>
      <c r="Q70" s="47">
        <v>26.76</v>
      </c>
      <c r="R70" s="47">
        <v>5.8999999999999997E-2</v>
      </c>
      <c r="S70" s="47">
        <v>-0.55000000000000004</v>
      </c>
      <c r="T70" s="47">
        <v>0.06</v>
      </c>
      <c r="U70" s="47">
        <v>-28.629000000000001</v>
      </c>
      <c r="V70" s="47">
        <v>2.919</v>
      </c>
      <c r="W70" s="47">
        <v>-46.994</v>
      </c>
      <c r="X70" s="47">
        <v>2.8650000000000002</v>
      </c>
      <c r="Y70" s="47">
        <v>-9.6526729990000001E-3</v>
      </c>
      <c r="Z70" s="47" t="s">
        <v>556</v>
      </c>
      <c r="AA70" s="47">
        <v>-0.307</v>
      </c>
      <c r="AB70" s="47">
        <v>1.0184676500000001</v>
      </c>
      <c r="AC70" s="47">
        <v>0.93281370870000002</v>
      </c>
      <c r="AD70" s="47">
        <v>0.62</v>
      </c>
      <c r="AE70" s="47">
        <v>0</v>
      </c>
      <c r="AF70" s="47">
        <v>-1.867679727E-2</v>
      </c>
      <c r="AG70" s="47" t="s">
        <v>557</v>
      </c>
      <c r="AH70" s="47">
        <v>-5.0999999999999997E-2</v>
      </c>
      <c r="AI70" s="47">
        <v>0.86269864399999996</v>
      </c>
      <c r="AJ70" s="47">
        <v>0.31568031079999997</v>
      </c>
      <c r="AK70" s="47">
        <v>0.27200000000000002</v>
      </c>
      <c r="AL70" s="47">
        <v>0</v>
      </c>
      <c r="AM70" s="47">
        <v>-11.31</v>
      </c>
      <c r="AN70" s="47"/>
      <c r="AO70" s="47"/>
      <c r="AP70" s="47">
        <v>-0.31</v>
      </c>
      <c r="AQ70" s="47"/>
      <c r="AR70" s="47"/>
      <c r="AS70" s="47">
        <v>30.6</v>
      </c>
      <c r="AT70" s="47"/>
      <c r="AU70" s="47"/>
      <c r="AV70" s="47">
        <v>0.62</v>
      </c>
      <c r="AW70" s="47"/>
      <c r="AX70" s="47"/>
      <c r="AY70" s="47"/>
      <c r="AZ70" s="47"/>
      <c r="BA70" s="47">
        <v>0.27200000000000002</v>
      </c>
      <c r="BB70" s="47"/>
      <c r="BC70" s="47"/>
      <c r="BD70" s="47"/>
      <c r="BE70" s="47"/>
      <c r="BF70" s="47">
        <v>16.514598110000001</v>
      </c>
      <c r="BG70" s="47"/>
      <c r="BH70" s="47"/>
      <c r="BI70" s="47">
        <v>1.031059138</v>
      </c>
      <c r="BJ70" s="47"/>
      <c r="BK70" s="47">
        <v>-0.4453066879</v>
      </c>
      <c r="BL70" s="47"/>
      <c r="BM70" s="47"/>
    </row>
    <row r="71" spans="1:65" x14ac:dyDescent="0.2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</row>
    <row r="72" spans="1:65" s="52" customFormat="1" x14ac:dyDescent="0.2">
      <c r="A72" s="50" t="s">
        <v>558</v>
      </c>
      <c r="B72" s="49"/>
      <c r="C72" s="49"/>
      <c r="D72" s="49"/>
      <c r="E72" s="49"/>
      <c r="F72" s="49"/>
      <c r="G72" s="49"/>
      <c r="H72" s="50">
        <v>1.8559214540000001E-2</v>
      </c>
      <c r="I72" s="49"/>
      <c r="J72" s="50">
        <v>3.4641016150000002E-2</v>
      </c>
      <c r="K72" s="49"/>
      <c r="L72" s="50">
        <v>3.7564758900000002E-2</v>
      </c>
      <c r="M72" s="49"/>
      <c r="N72" s="50">
        <v>3.8940124979999997E-2</v>
      </c>
      <c r="O72" s="49"/>
      <c r="P72" s="50">
        <v>1.92296068E-2</v>
      </c>
      <c r="Q72" s="49"/>
      <c r="R72" s="50">
        <v>0.11602059200000001</v>
      </c>
      <c r="S72" s="49"/>
      <c r="T72" s="50">
        <v>5.0639246970000003E-2</v>
      </c>
      <c r="U72" s="49"/>
      <c r="V72" s="50">
        <v>8.7149785039999994</v>
      </c>
      <c r="W72" s="49"/>
      <c r="X72" s="50">
        <v>8.5120993949999999</v>
      </c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50">
        <v>-8.9966666669999995</v>
      </c>
      <c r="AO72" s="50">
        <v>2.8867513460000001E-2</v>
      </c>
      <c r="AP72" s="49"/>
      <c r="AQ72" s="50">
        <v>-0.53666666669999996</v>
      </c>
      <c r="AR72" s="50">
        <v>6.506407099E-2</v>
      </c>
      <c r="AS72" s="49"/>
      <c r="AT72" s="50">
        <v>30.36333333</v>
      </c>
      <c r="AU72" s="50">
        <v>6.506407099E-2</v>
      </c>
      <c r="AV72" s="49"/>
      <c r="AW72" s="50">
        <v>0.60566666670000002</v>
      </c>
      <c r="AX72" s="50">
        <v>1.9539134520000001E-2</v>
      </c>
      <c r="AY72" s="51">
        <v>3.3842773719999997E-2</v>
      </c>
      <c r="AZ72" s="51">
        <v>6.5993408759999997E-2</v>
      </c>
      <c r="BA72" s="49"/>
      <c r="BB72" s="50">
        <v>0.28699999999999998</v>
      </c>
      <c r="BC72" s="50">
        <v>3.010537051E-2</v>
      </c>
      <c r="BD72" s="49"/>
      <c r="BE72" s="49"/>
      <c r="BF72" s="49"/>
      <c r="BG72" s="50">
        <v>21.480197440000001</v>
      </c>
      <c r="BH72" s="50">
        <v>6.2593884639999997</v>
      </c>
      <c r="BI72" s="49"/>
      <c r="BJ72" s="50">
        <v>1.030045997</v>
      </c>
      <c r="BK72" s="49"/>
      <c r="BL72" s="50">
        <f>AVERAGE(BK73:BK75)</f>
        <v>0.31155592886666666</v>
      </c>
      <c r="BM72" s="50">
        <f>STDEV(BK73:BK75)</f>
        <v>2.3036687315836866</v>
      </c>
    </row>
    <row r="73" spans="1:65" x14ac:dyDescent="0.2">
      <c r="A73" s="47" t="s">
        <v>67</v>
      </c>
      <c r="B73" s="53">
        <v>43412.206944444442</v>
      </c>
      <c r="C73" s="47" t="s">
        <v>69</v>
      </c>
      <c r="D73" s="47" t="s">
        <v>558</v>
      </c>
      <c r="E73" s="47" t="s">
        <v>70</v>
      </c>
      <c r="F73" s="53">
        <v>43410.25</v>
      </c>
      <c r="G73" s="47">
        <v>-9.1999999999999993</v>
      </c>
      <c r="H73" s="47">
        <v>0</v>
      </c>
      <c r="I73" s="47">
        <v>7.53</v>
      </c>
      <c r="J73" s="47">
        <v>0</v>
      </c>
      <c r="K73" s="47">
        <v>38.68</v>
      </c>
      <c r="L73" s="47">
        <v>0</v>
      </c>
      <c r="M73" s="47">
        <v>7.7430000000000003</v>
      </c>
      <c r="N73" s="47">
        <v>1.4E-2</v>
      </c>
      <c r="O73" s="47">
        <v>-0.42199999999999999</v>
      </c>
      <c r="P73" s="47">
        <v>1.4E-2</v>
      </c>
      <c r="Q73" s="47">
        <v>26.221</v>
      </c>
      <c r="R73" s="47">
        <v>3.6999999999999998E-2</v>
      </c>
      <c r="S73" s="47">
        <v>-0.628</v>
      </c>
      <c r="T73" s="47">
        <v>3.4000000000000002E-2</v>
      </c>
      <c r="U73" s="47">
        <v>2.0179999999999998</v>
      </c>
      <c r="V73" s="47">
        <v>7.5419999999999998</v>
      </c>
      <c r="W73" s="47">
        <v>-18.794</v>
      </c>
      <c r="X73" s="47">
        <v>7.383</v>
      </c>
      <c r="Y73" s="47">
        <v>-9.7107649380000008E-3</v>
      </c>
      <c r="Z73" s="47" t="s">
        <v>559</v>
      </c>
      <c r="AA73" s="47">
        <v>-0.34699999999999998</v>
      </c>
      <c r="AB73" s="47">
        <v>1.019137111</v>
      </c>
      <c r="AC73" s="47">
        <v>0.93108196480000005</v>
      </c>
      <c r="AD73" s="47">
        <v>0.57699999999999996</v>
      </c>
      <c r="AE73" s="47">
        <v>0</v>
      </c>
      <c r="AF73" s="47">
        <v>-2.1677035609999999E-2</v>
      </c>
      <c r="AG73" s="47" t="s">
        <v>560</v>
      </c>
      <c r="AH73" s="47">
        <v>-5.8999999999999997E-2</v>
      </c>
      <c r="AI73" s="47">
        <v>0.91027428440000002</v>
      </c>
      <c r="AJ73" s="47">
        <v>0.32580981380000001</v>
      </c>
      <c r="AK73" s="47">
        <v>0.27200000000000002</v>
      </c>
      <c r="AL73" s="47">
        <v>0</v>
      </c>
      <c r="AM73" s="47">
        <v>-8.98</v>
      </c>
      <c r="AN73" s="47"/>
      <c r="AO73" s="47"/>
      <c r="AP73" s="47">
        <v>-0.54</v>
      </c>
      <c r="AQ73" s="47"/>
      <c r="AR73" s="47"/>
      <c r="AS73" s="47">
        <v>30.36</v>
      </c>
      <c r="AT73" s="47"/>
      <c r="AU73" s="47"/>
      <c r="AV73" s="47">
        <v>0.57699999999999996</v>
      </c>
      <c r="AW73" s="47"/>
      <c r="AX73" s="47"/>
      <c r="AY73" s="47"/>
      <c r="AZ73" s="47"/>
      <c r="BA73" s="47">
        <v>0.27200000000000002</v>
      </c>
      <c r="BB73" s="47"/>
      <c r="BC73" s="47"/>
      <c r="BD73" s="47"/>
      <c r="BE73" s="47"/>
      <c r="BF73" s="47">
        <v>30.881228950000001</v>
      </c>
      <c r="BG73" s="47"/>
      <c r="BH73" s="47"/>
      <c r="BI73" s="47">
        <v>1.0280561109999999</v>
      </c>
      <c r="BJ73" s="47"/>
      <c r="BK73" s="47">
        <v>2.2410149320000001</v>
      </c>
      <c r="BL73" s="47"/>
      <c r="BM73" s="47"/>
    </row>
    <row r="74" spans="1:65" x14ac:dyDescent="0.2">
      <c r="A74" s="47" t="s">
        <v>81</v>
      </c>
      <c r="B74" s="53">
        <v>43414.01666666667</v>
      </c>
      <c r="C74" s="47" t="s">
        <v>69</v>
      </c>
      <c r="D74" s="47" t="s">
        <v>558</v>
      </c>
      <c r="E74" s="47" t="s">
        <v>70</v>
      </c>
      <c r="F74" s="53">
        <v>43410.25</v>
      </c>
      <c r="G74" s="47">
        <v>-9.25</v>
      </c>
      <c r="H74" s="47">
        <v>0</v>
      </c>
      <c r="I74" s="47">
        <v>7.47</v>
      </c>
      <c r="J74" s="47">
        <v>0</v>
      </c>
      <c r="K74" s="47">
        <v>38.619999999999997</v>
      </c>
      <c r="L74" s="47">
        <v>0</v>
      </c>
      <c r="M74" s="47">
        <v>7.6959999999999997</v>
      </c>
      <c r="N74" s="47">
        <v>2.1000000000000001E-2</v>
      </c>
      <c r="O74" s="47">
        <v>-0.35799999999999998</v>
      </c>
      <c r="P74" s="47">
        <v>2.1000000000000001E-2</v>
      </c>
      <c r="Q74" s="47">
        <v>26.135000000000002</v>
      </c>
      <c r="R74" s="47">
        <v>6.8000000000000005E-2</v>
      </c>
      <c r="S74" s="47">
        <v>-0.59099999999999997</v>
      </c>
      <c r="T74" s="47">
        <v>6.5000000000000002E-2</v>
      </c>
      <c r="U74" s="47">
        <v>-26.492999999999999</v>
      </c>
      <c r="V74" s="47">
        <v>3.9630000000000001</v>
      </c>
      <c r="W74" s="47">
        <v>-46.548999999999999</v>
      </c>
      <c r="X74" s="47">
        <v>3.88</v>
      </c>
      <c r="Y74" s="47">
        <v>-9.7761866480000001E-3</v>
      </c>
      <c r="Z74" s="47" t="s">
        <v>561</v>
      </c>
      <c r="AA74" s="47">
        <v>-0.28299999999999997</v>
      </c>
      <c r="AB74" s="47">
        <v>1.0265298730000001</v>
      </c>
      <c r="AC74" s="47">
        <v>0.93358200739999997</v>
      </c>
      <c r="AD74" s="47">
        <v>0.64300000000000002</v>
      </c>
      <c r="AE74" s="47">
        <v>0</v>
      </c>
      <c r="AF74" s="47">
        <v>-1.919613718E-2</v>
      </c>
      <c r="AG74" s="47" t="s">
        <v>562</v>
      </c>
      <c r="AH74" s="47">
        <v>-8.8999999999999996E-2</v>
      </c>
      <c r="AI74" s="47">
        <v>0.91027428440000002</v>
      </c>
      <c r="AJ74" s="47">
        <v>0.32580981380000001</v>
      </c>
      <c r="AK74" s="47">
        <v>0.24399999999999999</v>
      </c>
      <c r="AL74" s="47">
        <v>0</v>
      </c>
      <c r="AM74" s="47">
        <v>-9.0299999999999994</v>
      </c>
      <c r="AN74" s="47"/>
      <c r="AO74" s="47"/>
      <c r="AP74" s="47">
        <v>-0.6</v>
      </c>
      <c r="AQ74" s="47"/>
      <c r="AR74" s="47"/>
      <c r="AS74" s="47">
        <v>30.3</v>
      </c>
      <c r="AT74" s="47"/>
      <c r="AU74" s="47"/>
      <c r="AV74" s="47">
        <v>0.64300000000000002</v>
      </c>
      <c r="AW74" s="47"/>
      <c r="AX74" s="47"/>
      <c r="AY74" s="47"/>
      <c r="AZ74" s="47"/>
      <c r="BA74" s="47">
        <v>0.24399999999999999</v>
      </c>
      <c r="BB74" s="47"/>
      <c r="BC74" s="47"/>
      <c r="BD74" s="47"/>
      <c r="BE74" s="47"/>
      <c r="BF74" s="47">
        <v>9.6204019239999994</v>
      </c>
      <c r="BG74" s="47"/>
      <c r="BH74" s="47"/>
      <c r="BI74" s="47">
        <v>1.0326119970000001</v>
      </c>
      <c r="BJ74" s="47"/>
      <c r="BK74" s="47">
        <v>-2.2389795480000001</v>
      </c>
      <c r="BL74" s="47"/>
      <c r="BM74" s="47"/>
    </row>
    <row r="75" spans="1:65" x14ac:dyDescent="0.2">
      <c r="A75" s="47" t="s">
        <v>89</v>
      </c>
      <c r="B75" s="53">
        <v>43414.785416666666</v>
      </c>
      <c r="C75" s="47" t="s">
        <v>69</v>
      </c>
      <c r="D75" s="47" t="s">
        <v>558</v>
      </c>
      <c r="E75" s="47" t="s">
        <v>70</v>
      </c>
      <c r="F75" s="53">
        <v>43410.25</v>
      </c>
      <c r="G75" s="47">
        <v>-9.19</v>
      </c>
      <c r="H75" s="47">
        <v>0</v>
      </c>
      <c r="I75" s="47">
        <v>7.59</v>
      </c>
      <c r="J75" s="47">
        <v>0</v>
      </c>
      <c r="K75" s="47">
        <v>38.75</v>
      </c>
      <c r="L75" s="47">
        <v>0</v>
      </c>
      <c r="M75" s="47">
        <v>7.8289999999999997</v>
      </c>
      <c r="N75" s="47">
        <v>1.2999999999999999E-2</v>
      </c>
      <c r="O75" s="47">
        <v>-0.40600000000000003</v>
      </c>
      <c r="P75" s="47">
        <v>1.2E-2</v>
      </c>
      <c r="Q75" s="47">
        <v>26.518000000000001</v>
      </c>
      <c r="R75" s="47">
        <v>7.3999999999999996E-2</v>
      </c>
      <c r="S75" s="47">
        <v>-0.46100000000000002</v>
      </c>
      <c r="T75" s="47">
        <v>7.0999999999999994E-2</v>
      </c>
      <c r="U75" s="47">
        <v>-20.834</v>
      </c>
      <c r="V75" s="47">
        <v>3.927</v>
      </c>
      <c r="W75" s="47">
        <v>-41.293999999999997</v>
      </c>
      <c r="X75" s="47">
        <v>3.8439999999999999</v>
      </c>
      <c r="Y75" s="47">
        <v>-9.6526729990000001E-3</v>
      </c>
      <c r="Z75" s="47" t="s">
        <v>563</v>
      </c>
      <c r="AA75" s="47">
        <v>-0.33</v>
      </c>
      <c r="AB75" s="47">
        <v>1.0184676500000001</v>
      </c>
      <c r="AC75" s="47">
        <v>0.93281370870000002</v>
      </c>
      <c r="AD75" s="47">
        <v>0.59699999999999998</v>
      </c>
      <c r="AE75" s="47">
        <v>0</v>
      </c>
      <c r="AF75" s="47">
        <v>-1.867679727E-2</v>
      </c>
      <c r="AG75" s="47" t="s">
        <v>564</v>
      </c>
      <c r="AH75" s="47">
        <v>3.4000000000000002E-2</v>
      </c>
      <c r="AI75" s="47">
        <v>0.86269864399999996</v>
      </c>
      <c r="AJ75" s="47">
        <v>0.31568031079999997</v>
      </c>
      <c r="AK75" s="47">
        <v>0.34499999999999997</v>
      </c>
      <c r="AL75" s="47">
        <v>0</v>
      </c>
      <c r="AM75" s="47">
        <v>-8.98</v>
      </c>
      <c r="AN75" s="47"/>
      <c r="AO75" s="47"/>
      <c r="AP75" s="47">
        <v>-0.47</v>
      </c>
      <c r="AQ75" s="47"/>
      <c r="AR75" s="47"/>
      <c r="AS75" s="47">
        <v>30.43</v>
      </c>
      <c r="AT75" s="47"/>
      <c r="AU75" s="47"/>
      <c r="AV75" s="47">
        <v>0.59699999999999998</v>
      </c>
      <c r="AW75" s="47"/>
      <c r="AX75" s="47"/>
      <c r="AY75" s="47"/>
      <c r="AZ75" s="47"/>
      <c r="BA75" s="47">
        <v>0.34499999999999997</v>
      </c>
      <c r="BB75" s="47"/>
      <c r="BC75" s="47"/>
      <c r="BD75" s="47"/>
      <c r="BE75" s="47"/>
      <c r="BF75" s="47">
        <v>23.938961450000001</v>
      </c>
      <c r="BG75" s="47"/>
      <c r="BH75" s="47"/>
      <c r="BI75" s="47">
        <v>1.029469883</v>
      </c>
      <c r="BJ75" s="47"/>
      <c r="BK75" s="47">
        <v>0.93263240260000002</v>
      </c>
      <c r="BL75" s="47"/>
      <c r="BM75" s="47"/>
    </row>
    <row r="76" spans="1:65" x14ac:dyDescent="0.2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</row>
    <row r="77" spans="1:65" s="52" customFormat="1" x14ac:dyDescent="0.2">
      <c r="A77" s="50" t="s">
        <v>565</v>
      </c>
      <c r="B77" s="49"/>
      <c r="C77" s="49"/>
      <c r="D77" s="49"/>
      <c r="E77" s="49"/>
      <c r="F77" s="49"/>
      <c r="G77" s="49"/>
      <c r="H77" s="50">
        <v>0.01</v>
      </c>
      <c r="I77" s="49"/>
      <c r="J77" s="50">
        <v>1.527525232E-2</v>
      </c>
      <c r="K77" s="49"/>
      <c r="L77" s="50">
        <v>1.666666667E-2</v>
      </c>
      <c r="M77" s="49"/>
      <c r="N77" s="50">
        <v>2.7339430210000001E-2</v>
      </c>
      <c r="O77" s="49"/>
      <c r="P77" s="50">
        <v>1.452966315E-3</v>
      </c>
      <c r="Q77" s="49"/>
      <c r="R77" s="50">
        <v>2.9491995149999999E-2</v>
      </c>
      <c r="S77" s="49"/>
      <c r="T77" s="50">
        <v>4.2584556410000002E-2</v>
      </c>
      <c r="U77" s="49"/>
      <c r="V77" s="50">
        <v>1.679670239</v>
      </c>
      <c r="W77" s="49"/>
      <c r="X77" s="50">
        <v>1.620929192</v>
      </c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50">
        <v>-10.050000000000001</v>
      </c>
      <c r="AO77" s="50">
        <v>1.7320508080000001E-2</v>
      </c>
      <c r="AP77" s="49"/>
      <c r="AQ77" s="50">
        <v>-0.55666666669999998</v>
      </c>
      <c r="AR77" s="50">
        <v>2.8867513460000001E-2</v>
      </c>
      <c r="AS77" s="49"/>
      <c r="AT77" s="50">
        <v>30.34333333</v>
      </c>
      <c r="AU77" s="50">
        <v>2.8867513460000001E-2</v>
      </c>
      <c r="AV77" s="49"/>
      <c r="AW77" s="50">
        <v>0.59599999999999997</v>
      </c>
      <c r="AX77" s="50">
        <v>2.0816659989999998E-3</v>
      </c>
      <c r="AY77" s="51">
        <v>3.605551275E-3</v>
      </c>
      <c r="AZ77" s="51">
        <v>7.0308249869999997E-3</v>
      </c>
      <c r="BA77" s="49"/>
      <c r="BB77" s="50">
        <v>0.13266666669999999</v>
      </c>
      <c r="BC77" s="50">
        <v>5.7452395750000003E-2</v>
      </c>
      <c r="BD77" s="49"/>
      <c r="BE77" s="49"/>
      <c r="BF77" s="49"/>
      <c r="BG77" s="50">
        <v>24.279806069999999</v>
      </c>
      <c r="BH77" s="50">
        <v>0.7020609136</v>
      </c>
      <c r="BI77" s="49"/>
      <c r="BJ77" s="50">
        <v>1.0293995929999999</v>
      </c>
      <c r="BK77" s="49"/>
      <c r="BL77" s="50">
        <f>AVERAGE(BK78:BK80)</f>
        <v>0.91682266386666667</v>
      </c>
      <c r="BM77" s="50">
        <f>STDEV(BK78:BK80)</f>
        <v>0.21880862246703467</v>
      </c>
    </row>
    <row r="78" spans="1:65" x14ac:dyDescent="0.2">
      <c r="A78" s="47" t="s">
        <v>67</v>
      </c>
      <c r="B78" s="53">
        <v>43412.29583333333</v>
      </c>
      <c r="C78" s="47" t="s">
        <v>69</v>
      </c>
      <c r="D78" s="47" t="s">
        <v>565</v>
      </c>
      <c r="E78" s="47" t="s">
        <v>70</v>
      </c>
      <c r="F78" s="53">
        <v>43410.25</v>
      </c>
      <c r="G78" s="47">
        <v>-10.29</v>
      </c>
      <c r="H78" s="47">
        <v>0</v>
      </c>
      <c r="I78" s="47">
        <v>7.48</v>
      </c>
      <c r="J78" s="47">
        <v>0</v>
      </c>
      <c r="K78" s="47">
        <v>38.630000000000003</v>
      </c>
      <c r="L78" s="47">
        <v>0</v>
      </c>
      <c r="M78" s="47">
        <v>6.6429999999999998</v>
      </c>
      <c r="N78" s="47">
        <v>0.01</v>
      </c>
      <c r="O78" s="47">
        <v>-0.39700000000000002</v>
      </c>
      <c r="P78" s="47">
        <v>0.01</v>
      </c>
      <c r="Q78" s="47">
        <v>26.071000000000002</v>
      </c>
      <c r="R78" s="47">
        <v>4.2999999999999997E-2</v>
      </c>
      <c r="S78" s="47">
        <v>-0.66700000000000004</v>
      </c>
      <c r="T78" s="47">
        <v>4.2000000000000003E-2</v>
      </c>
      <c r="U78" s="47">
        <v>-22.471</v>
      </c>
      <c r="V78" s="47">
        <v>4.1399999999999997</v>
      </c>
      <c r="W78" s="47">
        <v>-41.619</v>
      </c>
      <c r="X78" s="47">
        <v>4.0570000000000004</v>
      </c>
      <c r="Y78" s="47">
        <v>-9.7107649380000008E-3</v>
      </c>
      <c r="Z78" s="47" t="s">
        <v>559</v>
      </c>
      <c r="AA78" s="47">
        <v>-0.33300000000000002</v>
      </c>
      <c r="AB78" s="47">
        <v>1.019137111</v>
      </c>
      <c r="AC78" s="47">
        <v>0.93108196480000005</v>
      </c>
      <c r="AD78" s="47">
        <v>0.59199999999999997</v>
      </c>
      <c r="AE78" s="47">
        <v>0</v>
      </c>
      <c r="AF78" s="47">
        <v>-2.1677035609999999E-2</v>
      </c>
      <c r="AG78" s="47" t="s">
        <v>566</v>
      </c>
      <c r="AH78" s="47">
        <v>-0.10199999999999999</v>
      </c>
      <c r="AI78" s="47">
        <v>0.91027428440000002</v>
      </c>
      <c r="AJ78" s="47">
        <v>0.32580981380000001</v>
      </c>
      <c r="AK78" s="47">
        <v>0.23300000000000001</v>
      </c>
      <c r="AL78" s="47">
        <v>0</v>
      </c>
      <c r="AM78" s="47">
        <v>-10.07</v>
      </c>
      <c r="AN78" s="47"/>
      <c r="AO78" s="47"/>
      <c r="AP78" s="47">
        <v>-0.59</v>
      </c>
      <c r="AQ78" s="47"/>
      <c r="AR78" s="47"/>
      <c r="AS78" s="47">
        <v>30.31</v>
      </c>
      <c r="AT78" s="47"/>
      <c r="AU78" s="47"/>
      <c r="AV78" s="47">
        <v>0.59199999999999997</v>
      </c>
      <c r="AW78" s="47"/>
      <c r="AX78" s="47"/>
      <c r="AY78" s="47"/>
      <c r="AZ78" s="47"/>
      <c r="BA78" s="47">
        <v>0.23300000000000001</v>
      </c>
      <c r="BB78" s="47"/>
      <c r="BC78" s="47"/>
      <c r="BD78" s="47"/>
      <c r="BE78" s="47"/>
      <c r="BF78" s="47">
        <v>25.629862760000002</v>
      </c>
      <c r="BG78" s="47"/>
      <c r="BH78" s="47"/>
      <c r="BI78" s="47">
        <v>1.0291193030000001</v>
      </c>
      <c r="BJ78" s="47"/>
      <c r="BK78" s="47">
        <v>1.157006151</v>
      </c>
      <c r="BL78" s="47"/>
      <c r="BM78" s="47"/>
    </row>
    <row r="79" spans="1:65" x14ac:dyDescent="0.2">
      <c r="A79" s="47" t="s">
        <v>81</v>
      </c>
      <c r="B79" s="53">
        <v>43413.087500000001</v>
      </c>
      <c r="C79" s="47" t="s">
        <v>69</v>
      </c>
      <c r="D79" s="47" t="s">
        <v>565</v>
      </c>
      <c r="E79" s="47" t="s">
        <v>70</v>
      </c>
      <c r="F79" s="53">
        <v>43410.25</v>
      </c>
      <c r="G79" s="47">
        <v>-10.26</v>
      </c>
      <c r="H79" s="47">
        <v>0</v>
      </c>
      <c r="I79" s="47">
        <v>7.52</v>
      </c>
      <c r="J79" s="47">
        <v>0</v>
      </c>
      <c r="K79" s="47">
        <v>38.68</v>
      </c>
      <c r="L79" s="47">
        <v>0</v>
      </c>
      <c r="M79" s="47">
        <v>6.726</v>
      </c>
      <c r="N79" s="47">
        <v>1.4999999999999999E-2</v>
      </c>
      <c r="O79" s="47">
        <v>-0.39200000000000002</v>
      </c>
      <c r="P79" s="47">
        <v>1.4999999999999999E-2</v>
      </c>
      <c r="Q79" s="47">
        <v>26.015000000000001</v>
      </c>
      <c r="R79" s="47">
        <v>4.5999999999999999E-2</v>
      </c>
      <c r="S79" s="47">
        <v>-0.81200000000000006</v>
      </c>
      <c r="T79" s="47">
        <v>4.4999999999999998E-2</v>
      </c>
      <c r="U79" s="47">
        <v>-16.934000000000001</v>
      </c>
      <c r="V79" s="47">
        <v>3.0920000000000001</v>
      </c>
      <c r="W79" s="47">
        <v>-36.308</v>
      </c>
      <c r="X79" s="47">
        <v>3.0289999999999999</v>
      </c>
      <c r="Y79" s="47">
        <v>-9.7112510299999996E-3</v>
      </c>
      <c r="Z79" s="47" t="s">
        <v>467</v>
      </c>
      <c r="AA79" s="47">
        <v>-0.32600000000000001</v>
      </c>
      <c r="AB79" s="47">
        <v>1.0265298730000001</v>
      </c>
      <c r="AC79" s="47">
        <v>0.93358200739999997</v>
      </c>
      <c r="AD79" s="47">
        <v>0.59899999999999998</v>
      </c>
      <c r="AE79" s="47">
        <v>0</v>
      </c>
      <c r="AF79" s="47">
        <v>-1.8866746810000001E-2</v>
      </c>
      <c r="AG79" s="47" t="s">
        <v>567</v>
      </c>
      <c r="AH79" s="47">
        <v>-0.32100000000000001</v>
      </c>
      <c r="AI79" s="47">
        <v>0.91027428440000002</v>
      </c>
      <c r="AJ79" s="47">
        <v>0.32580981380000001</v>
      </c>
      <c r="AK79" s="47">
        <v>3.4000000000000002E-2</v>
      </c>
      <c r="AL79" s="47">
        <v>0</v>
      </c>
      <c r="AM79" s="47">
        <v>-10.039999999999999</v>
      </c>
      <c r="AN79" s="47"/>
      <c r="AO79" s="47"/>
      <c r="AP79" s="47">
        <v>-0.54</v>
      </c>
      <c r="AQ79" s="47"/>
      <c r="AR79" s="47"/>
      <c r="AS79" s="47">
        <v>30.36</v>
      </c>
      <c r="AT79" s="47"/>
      <c r="AU79" s="47"/>
      <c r="AV79" s="47">
        <v>0.59899999999999998</v>
      </c>
      <c r="AW79" s="47"/>
      <c r="AX79" s="47"/>
      <c r="AY79" s="47"/>
      <c r="AZ79" s="47"/>
      <c r="BA79" s="47">
        <v>3.4000000000000002E-2</v>
      </c>
      <c r="BB79" s="47"/>
      <c r="BC79" s="47"/>
      <c r="BD79" s="47"/>
      <c r="BE79" s="47"/>
      <c r="BF79" s="47">
        <v>23.270593989999998</v>
      </c>
      <c r="BG79" s="47"/>
      <c r="BH79" s="47"/>
      <c r="BI79" s="47">
        <v>1.0296095940000001</v>
      </c>
      <c r="BJ79" s="47"/>
      <c r="BK79" s="47">
        <v>0.7288255991</v>
      </c>
      <c r="BL79" s="47"/>
      <c r="BM79" s="47"/>
    </row>
    <row r="80" spans="1:65" x14ac:dyDescent="0.2">
      <c r="A80" s="47" t="s">
        <v>89</v>
      </c>
      <c r="B80" s="53">
        <v>43414.10833333333</v>
      </c>
      <c r="C80" s="47" t="s">
        <v>69</v>
      </c>
      <c r="D80" s="47" t="s">
        <v>565</v>
      </c>
      <c r="E80" s="47" t="s">
        <v>70</v>
      </c>
      <c r="F80" s="53">
        <v>43410.25</v>
      </c>
      <c r="G80" s="47">
        <v>-10.26</v>
      </c>
      <c r="H80" s="47">
        <v>0</v>
      </c>
      <c r="I80" s="47">
        <v>7.53</v>
      </c>
      <c r="J80" s="47">
        <v>0</v>
      </c>
      <c r="K80" s="47">
        <v>38.68</v>
      </c>
      <c r="L80" s="47">
        <v>0</v>
      </c>
      <c r="M80" s="47">
        <v>6.7240000000000002</v>
      </c>
      <c r="N80" s="47">
        <v>1.4E-2</v>
      </c>
      <c r="O80" s="47">
        <v>-0.39400000000000002</v>
      </c>
      <c r="P80" s="47">
        <v>1.2999999999999999E-2</v>
      </c>
      <c r="Q80" s="47">
        <v>26.117000000000001</v>
      </c>
      <c r="R80" s="47">
        <v>4.4999999999999998E-2</v>
      </c>
      <c r="S80" s="47">
        <v>-0.71599999999999997</v>
      </c>
      <c r="T80" s="47">
        <v>4.7E-2</v>
      </c>
      <c r="U80" s="47">
        <v>-21.251000000000001</v>
      </c>
      <c r="V80" s="47">
        <v>6.5209999999999999</v>
      </c>
      <c r="W80" s="47">
        <v>-40.542000000000002</v>
      </c>
      <c r="X80" s="47">
        <v>6.3920000000000003</v>
      </c>
      <c r="Y80" s="47">
        <v>-9.7761866480000001E-3</v>
      </c>
      <c r="Z80" s="47" t="s">
        <v>568</v>
      </c>
      <c r="AA80" s="47">
        <v>-0.32800000000000001</v>
      </c>
      <c r="AB80" s="47">
        <v>1.0265298730000001</v>
      </c>
      <c r="AC80" s="47">
        <v>0.93358200739999997</v>
      </c>
      <c r="AD80" s="47">
        <v>0.59699999999999998</v>
      </c>
      <c r="AE80" s="47">
        <v>0</v>
      </c>
      <c r="AF80" s="47">
        <v>-1.919613718E-2</v>
      </c>
      <c r="AG80" s="47" t="s">
        <v>569</v>
      </c>
      <c r="AH80" s="47">
        <v>-0.215</v>
      </c>
      <c r="AI80" s="47">
        <v>0.91027428440000002</v>
      </c>
      <c r="AJ80" s="47">
        <v>0.32580981380000001</v>
      </c>
      <c r="AK80" s="47">
        <v>0.13100000000000001</v>
      </c>
      <c r="AL80" s="47">
        <v>0</v>
      </c>
      <c r="AM80" s="47">
        <v>-10.039999999999999</v>
      </c>
      <c r="AN80" s="47"/>
      <c r="AO80" s="47"/>
      <c r="AP80" s="47">
        <v>-0.54</v>
      </c>
      <c r="AQ80" s="47"/>
      <c r="AR80" s="47"/>
      <c r="AS80" s="47">
        <v>30.36</v>
      </c>
      <c r="AT80" s="47"/>
      <c r="AU80" s="47"/>
      <c r="AV80" s="47">
        <v>0.59699999999999998</v>
      </c>
      <c r="AW80" s="47"/>
      <c r="AX80" s="47"/>
      <c r="AY80" s="47"/>
      <c r="AZ80" s="47"/>
      <c r="BA80" s="47">
        <v>0.13100000000000001</v>
      </c>
      <c r="BB80" s="47"/>
      <c r="BC80" s="47"/>
      <c r="BD80" s="47"/>
      <c r="BE80" s="47"/>
      <c r="BF80" s="47">
        <v>23.938961450000001</v>
      </c>
      <c r="BG80" s="47"/>
      <c r="BH80" s="47"/>
      <c r="BI80" s="47">
        <v>1.029469883</v>
      </c>
      <c r="BJ80" s="47"/>
      <c r="BK80" s="47">
        <v>0.86463624149999996</v>
      </c>
      <c r="BL80" s="47"/>
      <c r="BM80" s="47"/>
    </row>
    <row r="81" spans="1:65" x14ac:dyDescent="0.2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</row>
    <row r="82" spans="1:65" s="52" customFormat="1" x14ac:dyDescent="0.2">
      <c r="A82" s="50" t="s">
        <v>570</v>
      </c>
      <c r="B82" s="49"/>
      <c r="C82" s="49"/>
      <c r="D82" s="49"/>
      <c r="E82" s="49"/>
      <c r="F82" s="49"/>
      <c r="G82" s="49"/>
      <c r="H82" s="50">
        <v>3.666666667E-2</v>
      </c>
      <c r="I82" s="49"/>
      <c r="J82" s="50">
        <v>4.702245327E-2</v>
      </c>
      <c r="K82" s="49"/>
      <c r="L82" s="50">
        <v>4.702245327E-2</v>
      </c>
      <c r="M82" s="49"/>
      <c r="N82" s="50">
        <v>6.9439022010000004E-2</v>
      </c>
      <c r="O82" s="49"/>
      <c r="P82" s="50">
        <v>5.5477723259999999E-3</v>
      </c>
      <c r="Q82" s="49"/>
      <c r="R82" s="50">
        <v>0.12868954890000001</v>
      </c>
      <c r="S82" s="49"/>
      <c r="T82" s="50">
        <v>4.4997530799999998E-2</v>
      </c>
      <c r="U82" s="49"/>
      <c r="V82" s="50">
        <v>3.372292313</v>
      </c>
      <c r="W82" s="49"/>
      <c r="X82" s="50">
        <v>3.2894766049999999</v>
      </c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50">
        <v>-10.23666667</v>
      </c>
      <c r="AO82" s="50">
        <v>5.507570547E-2</v>
      </c>
      <c r="AP82" s="49"/>
      <c r="AQ82" s="50">
        <v>-0.58666666670000001</v>
      </c>
      <c r="AR82" s="50">
        <v>7.5718777939999996E-2</v>
      </c>
      <c r="AS82" s="49"/>
      <c r="AT82" s="50">
        <v>30.313333329999999</v>
      </c>
      <c r="AU82" s="50">
        <v>7.5718777939999996E-2</v>
      </c>
      <c r="AV82" s="49"/>
      <c r="AW82" s="50">
        <v>0.60066666670000002</v>
      </c>
      <c r="AX82" s="50">
        <v>7.2648315730000001E-3</v>
      </c>
      <c r="AY82" s="51">
        <v>1.2583057389999999E-2</v>
      </c>
      <c r="AZ82" s="51">
        <v>2.4536961909999998E-2</v>
      </c>
      <c r="BA82" s="49"/>
      <c r="BB82" s="50">
        <v>0.23400000000000001</v>
      </c>
      <c r="BC82" s="50">
        <v>3.7898988549999998E-2</v>
      </c>
      <c r="BD82" s="49"/>
      <c r="BE82" s="49"/>
      <c r="BF82" s="49"/>
      <c r="BG82" s="50">
        <v>22.77551888</v>
      </c>
      <c r="BH82" s="50">
        <v>2.3974929870000001</v>
      </c>
      <c r="BI82" s="49"/>
      <c r="BJ82" s="50">
        <v>1.029721938</v>
      </c>
      <c r="BK82" s="49"/>
      <c r="BL82" s="50">
        <f>AVERAGE(BK83:BK85)</f>
        <v>0.57480661070000005</v>
      </c>
      <c r="BM82" s="50">
        <f>STDEV(BK83:BK85)</f>
        <v>0.85212302382374661</v>
      </c>
    </row>
    <row r="83" spans="1:65" x14ac:dyDescent="0.2">
      <c r="A83" s="47" t="s">
        <v>67</v>
      </c>
      <c r="B83" s="53">
        <v>43413.175694444442</v>
      </c>
      <c r="C83" s="47" t="s">
        <v>69</v>
      </c>
      <c r="D83" s="47" t="s">
        <v>570</v>
      </c>
      <c r="E83" s="47" t="s">
        <v>70</v>
      </c>
      <c r="F83" s="53">
        <v>43410.25</v>
      </c>
      <c r="G83" s="47">
        <v>-10.42</v>
      </c>
      <c r="H83" s="47">
        <v>0</v>
      </c>
      <c r="I83" s="47">
        <v>7.43</v>
      </c>
      <c r="J83" s="47">
        <v>0</v>
      </c>
      <c r="K83" s="47">
        <v>38.58</v>
      </c>
      <c r="L83" s="47">
        <v>0</v>
      </c>
      <c r="M83" s="47">
        <v>6.4660000000000002</v>
      </c>
      <c r="N83" s="47">
        <v>1.2999999999999999E-2</v>
      </c>
      <c r="O83" s="47">
        <v>-0.39900000000000002</v>
      </c>
      <c r="P83" s="47">
        <v>1.2999999999999999E-2</v>
      </c>
      <c r="Q83" s="47">
        <v>25.983000000000001</v>
      </c>
      <c r="R83" s="47">
        <v>0.05</v>
      </c>
      <c r="S83" s="47">
        <v>-0.66</v>
      </c>
      <c r="T83" s="47">
        <v>4.8000000000000001E-2</v>
      </c>
      <c r="U83" s="47">
        <v>-16.184999999999999</v>
      </c>
      <c r="V83" s="47">
        <v>6.3120000000000003</v>
      </c>
      <c r="W83" s="47">
        <v>-35.238999999999997</v>
      </c>
      <c r="X83" s="47">
        <v>6.1890000000000001</v>
      </c>
      <c r="Y83" s="47">
        <v>-9.7112510299999996E-3</v>
      </c>
      <c r="Z83" s="47" t="s">
        <v>571</v>
      </c>
      <c r="AA83" s="47">
        <v>-0.33600000000000002</v>
      </c>
      <c r="AB83" s="47">
        <v>1.0265298730000001</v>
      </c>
      <c r="AC83" s="47">
        <v>0.93358200739999997</v>
      </c>
      <c r="AD83" s="47">
        <v>0.58899999999999997</v>
      </c>
      <c r="AE83" s="47">
        <v>0</v>
      </c>
      <c r="AF83" s="47">
        <v>-1.8866746810000001E-2</v>
      </c>
      <c r="AG83" s="47" t="s">
        <v>572</v>
      </c>
      <c r="AH83" s="47">
        <v>-0.17</v>
      </c>
      <c r="AI83" s="47">
        <v>0.91027428440000002</v>
      </c>
      <c r="AJ83" s="47">
        <v>0.32580981380000001</v>
      </c>
      <c r="AK83" s="47">
        <v>0.17100000000000001</v>
      </c>
      <c r="AL83" s="47">
        <v>0</v>
      </c>
      <c r="AM83" s="47">
        <v>-10.199999999999999</v>
      </c>
      <c r="AN83" s="47"/>
      <c r="AO83" s="47"/>
      <c r="AP83" s="47">
        <v>-0.64</v>
      </c>
      <c r="AQ83" s="47"/>
      <c r="AR83" s="47"/>
      <c r="AS83" s="47">
        <v>30.26</v>
      </c>
      <c r="AT83" s="47"/>
      <c r="AU83" s="47"/>
      <c r="AV83" s="47">
        <v>0.58899999999999997</v>
      </c>
      <c r="AW83" s="47"/>
      <c r="AX83" s="47"/>
      <c r="AY83" s="47"/>
      <c r="AZ83" s="47"/>
      <c r="BA83" s="47">
        <v>0.17100000000000001</v>
      </c>
      <c r="BB83" s="47"/>
      <c r="BC83" s="47"/>
      <c r="BD83" s="47"/>
      <c r="BE83" s="47"/>
      <c r="BF83" s="47">
        <v>26.658367909999999</v>
      </c>
      <c r="BG83" s="47"/>
      <c r="BH83" s="47"/>
      <c r="BI83" s="47">
        <v>1.0289080509999999</v>
      </c>
      <c r="BJ83" s="47"/>
      <c r="BK83" s="47">
        <v>1.3139648260000001</v>
      </c>
      <c r="BL83" s="47"/>
      <c r="BM83" s="47"/>
    </row>
    <row r="84" spans="1:65" x14ac:dyDescent="0.2">
      <c r="A84" s="47" t="s">
        <v>81</v>
      </c>
      <c r="B84" s="53">
        <v>43414.87222222222</v>
      </c>
      <c r="C84" s="47" t="s">
        <v>69</v>
      </c>
      <c r="D84" s="47" t="s">
        <v>570</v>
      </c>
      <c r="E84" s="47" t="s">
        <v>70</v>
      </c>
      <c r="F84" s="53">
        <v>43410.25</v>
      </c>
      <c r="G84" s="47">
        <v>-10.42</v>
      </c>
      <c r="H84" s="47">
        <v>0</v>
      </c>
      <c r="I84" s="47">
        <v>7.56</v>
      </c>
      <c r="J84" s="47">
        <v>0</v>
      </c>
      <c r="K84" s="47">
        <v>38.71</v>
      </c>
      <c r="L84" s="47">
        <v>0</v>
      </c>
      <c r="M84" s="47">
        <v>6.6</v>
      </c>
      <c r="N84" s="47">
        <v>1.0999999999999999E-2</v>
      </c>
      <c r="O84" s="47">
        <v>-0.39200000000000002</v>
      </c>
      <c r="P84" s="47">
        <v>1.0999999999999999E-2</v>
      </c>
      <c r="Q84" s="47">
        <v>26.4</v>
      </c>
      <c r="R84" s="47">
        <v>4.2000000000000003E-2</v>
      </c>
      <c r="S84" s="47">
        <v>-0.50900000000000001</v>
      </c>
      <c r="T84" s="47">
        <v>4.2000000000000003E-2</v>
      </c>
      <c r="U84" s="47">
        <v>-23.87</v>
      </c>
      <c r="V84" s="47">
        <v>2.4220000000000002</v>
      </c>
      <c r="W84" s="47">
        <v>-43.017000000000003</v>
      </c>
      <c r="X84" s="47">
        <v>2.3740000000000001</v>
      </c>
      <c r="Y84" s="47">
        <v>-9.6526729990000001E-3</v>
      </c>
      <c r="Z84" s="47" t="s">
        <v>573</v>
      </c>
      <c r="AA84" s="47">
        <v>-0.32800000000000001</v>
      </c>
      <c r="AB84" s="47">
        <v>1.0184676500000001</v>
      </c>
      <c r="AC84" s="47">
        <v>0.93281370870000002</v>
      </c>
      <c r="AD84" s="47">
        <v>0.59899999999999998</v>
      </c>
      <c r="AE84" s="47">
        <v>0</v>
      </c>
      <c r="AF84" s="47">
        <v>-1.867679727E-2</v>
      </c>
      <c r="AG84" s="47" t="s">
        <v>574</v>
      </c>
      <c r="AH84" s="47">
        <v>-1.6E-2</v>
      </c>
      <c r="AI84" s="47">
        <v>0.86269864399999996</v>
      </c>
      <c r="AJ84" s="47">
        <v>0.31568031079999997</v>
      </c>
      <c r="AK84" s="47">
        <v>0.30199999999999999</v>
      </c>
      <c r="AL84" s="47">
        <v>0</v>
      </c>
      <c r="AM84" s="47">
        <v>-10.210000000000001</v>
      </c>
      <c r="AN84" s="47"/>
      <c r="AO84" s="47"/>
      <c r="AP84" s="47">
        <v>-0.5</v>
      </c>
      <c r="AQ84" s="47"/>
      <c r="AR84" s="47"/>
      <c r="AS84" s="47">
        <v>30.4</v>
      </c>
      <c r="AT84" s="47"/>
      <c r="AU84" s="47"/>
      <c r="AV84" s="47">
        <v>0.59899999999999998</v>
      </c>
      <c r="AW84" s="47"/>
      <c r="AX84" s="47"/>
      <c r="AY84" s="47"/>
      <c r="AZ84" s="47"/>
      <c r="BA84" s="47">
        <v>0.30199999999999999</v>
      </c>
      <c r="BB84" s="47"/>
      <c r="BC84" s="47"/>
      <c r="BD84" s="47"/>
      <c r="BE84" s="47"/>
      <c r="BF84" s="47">
        <v>23.270593989999998</v>
      </c>
      <c r="BG84" s="47"/>
      <c r="BH84" s="47"/>
      <c r="BI84" s="47">
        <v>1.0296095940000001</v>
      </c>
      <c r="BJ84" s="47"/>
      <c r="BK84" s="47">
        <v>0.76767527599999996</v>
      </c>
      <c r="BL84" s="47"/>
      <c r="BM84" s="47"/>
    </row>
    <row r="85" spans="1:65" x14ac:dyDescent="0.2">
      <c r="A85" s="47" t="s">
        <v>89</v>
      </c>
      <c r="B85" s="53">
        <v>43415.643055555556</v>
      </c>
      <c r="C85" s="47" t="s">
        <v>69</v>
      </c>
      <c r="D85" s="47" t="s">
        <v>570</v>
      </c>
      <c r="E85" s="47" t="s">
        <v>70</v>
      </c>
      <c r="F85" s="53">
        <v>43410.25</v>
      </c>
      <c r="G85" s="47">
        <v>-10.53</v>
      </c>
      <c r="H85" s="47">
        <v>0</v>
      </c>
      <c r="I85" s="47">
        <v>7.41</v>
      </c>
      <c r="J85" s="47">
        <v>0</v>
      </c>
      <c r="K85" s="47">
        <v>38.56</v>
      </c>
      <c r="L85" s="47">
        <v>0</v>
      </c>
      <c r="M85" s="47">
        <v>6.36</v>
      </c>
      <c r="N85" s="47">
        <v>0.01</v>
      </c>
      <c r="O85" s="47">
        <v>-0.38</v>
      </c>
      <c r="P85" s="47">
        <v>8.9999999999999993E-3</v>
      </c>
      <c r="Q85" s="47">
        <v>26.055</v>
      </c>
      <c r="R85" s="47">
        <v>6.6000000000000003E-2</v>
      </c>
      <c r="S85" s="47">
        <v>-0.55100000000000005</v>
      </c>
      <c r="T85" s="47">
        <v>6.5000000000000002E-2</v>
      </c>
      <c r="U85" s="47">
        <v>-27.646999999999998</v>
      </c>
      <c r="V85" s="47">
        <v>3.0640000000000001</v>
      </c>
      <c r="W85" s="47">
        <v>-46.34</v>
      </c>
      <c r="X85" s="47">
        <v>3.004</v>
      </c>
      <c r="Y85" s="47">
        <v>-9.4382023930000003E-3</v>
      </c>
      <c r="Z85" s="47" t="s">
        <v>575</v>
      </c>
      <c r="AA85" s="47">
        <v>-0.32</v>
      </c>
      <c r="AB85" s="47">
        <v>1.039402717</v>
      </c>
      <c r="AC85" s="47">
        <v>0.94689753529999998</v>
      </c>
      <c r="AD85" s="47">
        <v>0.61399999999999999</v>
      </c>
      <c r="AE85" s="47">
        <v>0</v>
      </c>
      <c r="AF85" s="47">
        <v>-1.727645484E-2</v>
      </c>
      <c r="AG85" s="47" t="s">
        <v>576</v>
      </c>
      <c r="AH85" s="47">
        <v>-0.10100000000000001</v>
      </c>
      <c r="AI85" s="47">
        <v>0.86269864399999996</v>
      </c>
      <c r="AJ85" s="47">
        <v>0.31568031079999997</v>
      </c>
      <c r="AK85" s="47">
        <v>0.22900000000000001</v>
      </c>
      <c r="AL85" s="47">
        <v>0</v>
      </c>
      <c r="AM85" s="47">
        <v>-10.3</v>
      </c>
      <c r="AN85" s="47"/>
      <c r="AO85" s="47"/>
      <c r="AP85" s="47">
        <v>-0.62</v>
      </c>
      <c r="AQ85" s="47"/>
      <c r="AR85" s="47"/>
      <c r="AS85" s="47">
        <v>30.28</v>
      </c>
      <c r="AT85" s="47"/>
      <c r="AU85" s="47"/>
      <c r="AV85" s="47">
        <v>0.61399999999999999</v>
      </c>
      <c r="AW85" s="47"/>
      <c r="AX85" s="47"/>
      <c r="AY85" s="47"/>
      <c r="AZ85" s="47"/>
      <c r="BA85" s="47">
        <v>0.22900000000000001</v>
      </c>
      <c r="BB85" s="47"/>
      <c r="BC85" s="47"/>
      <c r="BD85" s="47"/>
      <c r="BE85" s="47"/>
      <c r="BF85" s="47">
        <v>18.397594739999999</v>
      </c>
      <c r="BG85" s="47"/>
      <c r="BH85" s="47"/>
      <c r="BI85" s="47">
        <v>1.0306481679999999</v>
      </c>
      <c r="BJ85" s="47"/>
      <c r="BK85" s="47">
        <v>-0.3572202699</v>
      </c>
      <c r="BL85" s="47"/>
      <c r="BM85" s="47"/>
    </row>
    <row r="86" spans="1:65" x14ac:dyDescent="0.2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</row>
    <row r="87" spans="1:65" s="52" customFormat="1" x14ac:dyDescent="0.2">
      <c r="A87" s="50" t="s">
        <v>577</v>
      </c>
      <c r="B87" s="49"/>
      <c r="C87" s="49"/>
      <c r="D87" s="49"/>
      <c r="E87" s="49"/>
      <c r="F87" s="49"/>
      <c r="G87" s="49"/>
      <c r="H87" s="50">
        <v>0.18283872679999999</v>
      </c>
      <c r="I87" s="49"/>
      <c r="J87" s="50">
        <v>0.122613213</v>
      </c>
      <c r="K87" s="49"/>
      <c r="L87" s="50">
        <v>0.1242336508</v>
      </c>
      <c r="M87" s="49"/>
      <c r="N87" s="50">
        <v>9.5152824450000006E-2</v>
      </c>
      <c r="O87" s="49"/>
      <c r="P87" s="50">
        <v>1.8269099590000001E-2</v>
      </c>
      <c r="Q87" s="49"/>
      <c r="R87" s="50">
        <v>0.24412484509999999</v>
      </c>
      <c r="S87" s="49"/>
      <c r="T87" s="50">
        <v>3.974871067E-2</v>
      </c>
      <c r="U87" s="49"/>
      <c r="V87" s="50">
        <v>4.036757132</v>
      </c>
      <c r="W87" s="49"/>
      <c r="X87" s="50">
        <v>3.9637460240000002</v>
      </c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50">
        <v>-10.458</v>
      </c>
      <c r="AO87" s="50">
        <v>0.42127188370000002</v>
      </c>
      <c r="AP87" s="49"/>
      <c r="AQ87" s="50">
        <v>-0.86799999999999999</v>
      </c>
      <c r="AR87" s="50">
        <v>0.40861962750000003</v>
      </c>
      <c r="AS87" s="49"/>
      <c r="AT87" s="50">
        <v>30.024000000000001</v>
      </c>
      <c r="AU87" s="50">
        <v>0.41902267240000002</v>
      </c>
      <c r="AV87" s="49"/>
      <c r="AW87" s="50">
        <v>0.58260000000000001</v>
      </c>
      <c r="AX87" s="50">
        <v>1.289418474E-2</v>
      </c>
      <c r="AY87" s="51">
        <v>2.8832273580000001E-2</v>
      </c>
      <c r="AZ87" s="51">
        <v>5.6222933490000002E-2</v>
      </c>
      <c r="BA87" s="49"/>
      <c r="BB87" s="50">
        <v>0.219</v>
      </c>
      <c r="BC87" s="50">
        <v>3.5788266229999997E-2</v>
      </c>
      <c r="BD87" s="49"/>
      <c r="BE87" s="49"/>
      <c r="BF87" s="49"/>
      <c r="BG87" s="50">
        <v>29.306319989999999</v>
      </c>
      <c r="BH87" s="50">
        <v>4.62384504</v>
      </c>
      <c r="BI87" s="49"/>
      <c r="BJ87" s="50">
        <v>1.028428887</v>
      </c>
      <c r="BK87" s="49"/>
      <c r="BL87" s="50">
        <f>AVERAGE(BK88:BK92)</f>
        <v>1.5544068917400002</v>
      </c>
      <c r="BM87" s="50">
        <f>STDEV(BK88:BK92)</f>
        <v>2.1521158296241905</v>
      </c>
    </row>
    <row r="88" spans="1:65" x14ac:dyDescent="0.2">
      <c r="A88" s="47" t="s">
        <v>67</v>
      </c>
      <c r="B88" s="53">
        <v>43396.743750000001</v>
      </c>
      <c r="C88" s="47" t="s">
        <v>69</v>
      </c>
      <c r="D88" s="47" t="s">
        <v>577</v>
      </c>
      <c r="E88" s="47" t="s">
        <v>70</v>
      </c>
      <c r="F88" s="53">
        <v>43387.808333333334</v>
      </c>
      <c r="G88" s="47">
        <v>-10.48</v>
      </c>
      <c r="H88" s="47">
        <v>0</v>
      </c>
      <c r="I88" s="47">
        <v>6.61</v>
      </c>
      <c r="J88" s="47">
        <v>0</v>
      </c>
      <c r="K88" s="47">
        <v>37.74</v>
      </c>
      <c r="L88" s="47">
        <v>0</v>
      </c>
      <c r="M88" s="47">
        <v>5.6520000000000001</v>
      </c>
      <c r="N88" s="47">
        <v>1.6E-2</v>
      </c>
      <c r="O88" s="47">
        <v>-0.32700000000000001</v>
      </c>
      <c r="P88" s="47">
        <v>1.4999999999999999E-2</v>
      </c>
      <c r="Q88" s="47">
        <v>24.472000000000001</v>
      </c>
      <c r="R88" s="47">
        <v>6.7000000000000004E-2</v>
      </c>
      <c r="S88" s="47">
        <v>-0.51200000000000001</v>
      </c>
      <c r="T88" s="47">
        <v>6.3E-2</v>
      </c>
      <c r="U88" s="47">
        <v>-18.893000000000001</v>
      </c>
      <c r="V88" s="47">
        <v>2.9729999999999999</v>
      </c>
      <c r="W88" s="47">
        <v>-36.277999999999999</v>
      </c>
      <c r="X88" s="47">
        <v>2.9220000000000002</v>
      </c>
      <c r="Y88" s="47">
        <v>-8.8688774899999996E-3</v>
      </c>
      <c r="Z88" s="47" t="s">
        <v>578</v>
      </c>
      <c r="AA88" s="47">
        <v>-0.27600000000000002</v>
      </c>
      <c r="AB88" s="47">
        <v>1.1243344280000001</v>
      </c>
      <c r="AC88" s="47">
        <v>0.8533245908</v>
      </c>
      <c r="AD88" s="47">
        <v>0.54200000000000004</v>
      </c>
      <c r="AE88" s="47">
        <v>0</v>
      </c>
      <c r="AF88" s="47">
        <v>-2.1282790400000001E-2</v>
      </c>
      <c r="AG88" s="47" t="s">
        <v>579</v>
      </c>
      <c r="AH88" s="47">
        <v>8.9999999999999993E-3</v>
      </c>
      <c r="AI88" s="47">
        <v>0.78606619580000003</v>
      </c>
      <c r="AJ88" s="47">
        <v>0.27819339920000002</v>
      </c>
      <c r="AK88" s="47">
        <v>0.28499999999999998</v>
      </c>
      <c r="AL88" s="47">
        <v>0</v>
      </c>
      <c r="AM88" s="47">
        <v>-10.28</v>
      </c>
      <c r="AN88" s="47"/>
      <c r="AO88" s="47"/>
      <c r="AP88" s="47">
        <v>-1.02</v>
      </c>
      <c r="AQ88" s="47"/>
      <c r="AR88" s="47"/>
      <c r="AS88" s="47">
        <v>29.87</v>
      </c>
      <c r="AT88" s="47"/>
      <c r="AU88" s="47"/>
      <c r="AV88" s="47">
        <v>0.54200000000000004</v>
      </c>
      <c r="AW88" s="47"/>
      <c r="AX88" s="47"/>
      <c r="AY88" s="47"/>
      <c r="AZ88" s="47"/>
      <c r="BA88" s="47">
        <v>0.28499999999999998</v>
      </c>
      <c r="BB88" s="47"/>
      <c r="BC88" s="47"/>
      <c r="BD88" s="47"/>
      <c r="BE88" s="47"/>
      <c r="BF88" s="47">
        <v>44.297941989999998</v>
      </c>
      <c r="BG88" s="47"/>
      <c r="BH88" s="47"/>
      <c r="BI88" s="47">
        <v>1.0255039969999999</v>
      </c>
      <c r="BJ88" s="47"/>
      <c r="BK88" s="47">
        <v>4.2574221940000001</v>
      </c>
      <c r="BL88" s="47"/>
      <c r="BM88" s="47"/>
    </row>
    <row r="89" spans="1:65" x14ac:dyDescent="0.2">
      <c r="A89" s="47" t="s">
        <v>81</v>
      </c>
      <c r="B89" s="53">
        <v>43397.74722222222</v>
      </c>
      <c r="C89" s="47" t="s">
        <v>69</v>
      </c>
      <c r="D89" s="47" t="s">
        <v>577</v>
      </c>
      <c r="E89" s="47" t="s">
        <v>70</v>
      </c>
      <c r="F89" s="53">
        <v>43387.808333333334</v>
      </c>
      <c r="G89" s="47">
        <v>-11.4</v>
      </c>
      <c r="H89" s="47">
        <v>0</v>
      </c>
      <c r="I89" s="47">
        <v>7.38</v>
      </c>
      <c r="J89" s="47">
        <v>0</v>
      </c>
      <c r="K89" s="47">
        <v>38.520000000000003</v>
      </c>
      <c r="L89" s="47">
        <v>0</v>
      </c>
      <c r="M89" s="47">
        <v>5.5430000000000001</v>
      </c>
      <c r="N89" s="47">
        <v>0.02</v>
      </c>
      <c r="O89" s="47">
        <v>-0.30099999999999999</v>
      </c>
      <c r="P89" s="47">
        <v>1.9E-2</v>
      </c>
      <c r="Q89" s="47">
        <v>25.963000000000001</v>
      </c>
      <c r="R89" s="47">
        <v>7.4999999999999997E-2</v>
      </c>
      <c r="S89" s="47">
        <v>-0.56499999999999995</v>
      </c>
      <c r="T89" s="47">
        <v>7.0000000000000007E-2</v>
      </c>
      <c r="U89" s="47">
        <v>-24.664999999999999</v>
      </c>
      <c r="V89" s="47">
        <v>4.8250000000000002</v>
      </c>
      <c r="W89" s="47">
        <v>-42.499000000000002</v>
      </c>
      <c r="X89" s="47">
        <v>4.734</v>
      </c>
      <c r="Y89" s="47">
        <v>-8.7261038079999992E-3</v>
      </c>
      <c r="Z89" s="47" t="s">
        <v>580</v>
      </c>
      <c r="AA89" s="47">
        <v>-0.253</v>
      </c>
      <c r="AB89" s="47">
        <v>1.1243344280000001</v>
      </c>
      <c r="AC89" s="47">
        <v>0.8533245908</v>
      </c>
      <c r="AD89" s="47">
        <v>0.56899999999999995</v>
      </c>
      <c r="AE89" s="47">
        <v>0</v>
      </c>
      <c r="AF89" s="47">
        <v>-2.1055576199999999E-2</v>
      </c>
      <c r="AG89" s="47" t="s">
        <v>581</v>
      </c>
      <c r="AH89" s="47">
        <v>-1.7999999999999999E-2</v>
      </c>
      <c r="AI89" s="47">
        <v>0.78606619580000003</v>
      </c>
      <c r="AJ89" s="47">
        <v>0.27819339920000002</v>
      </c>
      <c r="AK89" s="47">
        <v>0.26400000000000001</v>
      </c>
      <c r="AL89" s="47">
        <v>0</v>
      </c>
      <c r="AM89" s="47">
        <v>-11.21</v>
      </c>
      <c r="AN89" s="47"/>
      <c r="AO89" s="47"/>
      <c r="AP89" s="47">
        <v>-0.14000000000000001</v>
      </c>
      <c r="AQ89" s="47"/>
      <c r="AR89" s="47"/>
      <c r="AS89" s="47">
        <v>30.77</v>
      </c>
      <c r="AT89" s="47"/>
      <c r="AU89" s="47"/>
      <c r="AV89" s="47">
        <v>0.56899999999999995</v>
      </c>
      <c r="AW89" s="47"/>
      <c r="AX89" s="47"/>
      <c r="AY89" s="47"/>
      <c r="AZ89" s="47"/>
      <c r="BA89" s="47">
        <v>0.26400000000000001</v>
      </c>
      <c r="BB89" s="47"/>
      <c r="BC89" s="47"/>
      <c r="BD89" s="47"/>
      <c r="BE89" s="47"/>
      <c r="BF89" s="47">
        <v>33.797662430000003</v>
      </c>
      <c r="BG89" s="47"/>
      <c r="BH89" s="47"/>
      <c r="BI89" s="47">
        <v>1.0274818189999999</v>
      </c>
      <c r="BJ89" s="47"/>
      <c r="BK89" s="47">
        <v>3.2002325979999999</v>
      </c>
      <c r="BL89" s="47"/>
      <c r="BM89" s="47"/>
    </row>
    <row r="90" spans="1:65" x14ac:dyDescent="0.2">
      <c r="A90" s="47" t="s">
        <v>89</v>
      </c>
      <c r="B90" s="53">
        <v>43413.263194444444</v>
      </c>
      <c r="C90" s="47" t="s">
        <v>69</v>
      </c>
      <c r="D90" s="47" t="s">
        <v>577</v>
      </c>
      <c r="E90" s="47" t="s">
        <v>70</v>
      </c>
      <c r="F90" s="53">
        <v>43410.25</v>
      </c>
      <c r="G90" s="47">
        <v>-10.53</v>
      </c>
      <c r="H90" s="47">
        <v>0</v>
      </c>
      <c r="I90" s="47">
        <v>6.95</v>
      </c>
      <c r="J90" s="47">
        <v>0</v>
      </c>
      <c r="K90" s="47">
        <v>38.090000000000003</v>
      </c>
      <c r="L90" s="47">
        <v>0</v>
      </c>
      <c r="M90" s="47">
        <v>5.8680000000000003</v>
      </c>
      <c r="N90" s="47">
        <v>1.4999999999999999E-2</v>
      </c>
      <c r="O90" s="47">
        <v>-0.39700000000000002</v>
      </c>
      <c r="P90" s="47">
        <v>1.6E-2</v>
      </c>
      <c r="Q90" s="47">
        <v>24.922999999999998</v>
      </c>
      <c r="R90" s="47">
        <v>4.2999999999999997E-2</v>
      </c>
      <c r="S90" s="47">
        <v>-0.73799999999999999</v>
      </c>
      <c r="T90" s="47">
        <v>4.1000000000000002E-2</v>
      </c>
      <c r="U90" s="47">
        <v>-1.796</v>
      </c>
      <c r="V90" s="47">
        <v>5.032</v>
      </c>
      <c r="W90" s="47">
        <v>-20.081</v>
      </c>
      <c r="X90" s="47">
        <v>4.9409999999999998</v>
      </c>
      <c r="Y90" s="47">
        <v>-9.7112510299999996E-3</v>
      </c>
      <c r="Z90" s="47" t="s">
        <v>582</v>
      </c>
      <c r="AA90" s="47">
        <v>-0.34</v>
      </c>
      <c r="AB90" s="47">
        <v>1.0265298730000001</v>
      </c>
      <c r="AC90" s="47">
        <v>0.93358200739999997</v>
      </c>
      <c r="AD90" s="47">
        <v>0.58499999999999996</v>
      </c>
      <c r="AE90" s="47">
        <v>0</v>
      </c>
      <c r="AF90" s="47">
        <v>-1.8866746810000001E-2</v>
      </c>
      <c r="AG90" s="47" t="s">
        <v>583</v>
      </c>
      <c r="AH90" s="47">
        <v>-0.26800000000000002</v>
      </c>
      <c r="AI90" s="47">
        <v>0.91027428440000002</v>
      </c>
      <c r="AJ90" s="47">
        <v>0.32580981380000001</v>
      </c>
      <c r="AK90" s="47">
        <v>8.2000000000000003E-2</v>
      </c>
      <c r="AL90" s="47">
        <v>0</v>
      </c>
      <c r="AM90" s="47">
        <v>-10.31</v>
      </c>
      <c r="AN90" s="47"/>
      <c r="AO90" s="47"/>
      <c r="AP90" s="47">
        <v>-1.1100000000000001</v>
      </c>
      <c r="AQ90" s="47"/>
      <c r="AR90" s="47"/>
      <c r="AS90" s="47">
        <v>29.77</v>
      </c>
      <c r="AT90" s="47"/>
      <c r="AU90" s="47"/>
      <c r="AV90" s="47">
        <v>0.58499999999999996</v>
      </c>
      <c r="AW90" s="47"/>
      <c r="AX90" s="47"/>
      <c r="AY90" s="47"/>
      <c r="AZ90" s="47"/>
      <c r="BA90" s="47">
        <v>8.2000000000000003E-2</v>
      </c>
      <c r="BB90" s="47"/>
      <c r="BC90" s="47"/>
      <c r="BD90" s="47"/>
      <c r="BE90" s="47"/>
      <c r="BF90" s="47">
        <v>28.046377039999999</v>
      </c>
      <c r="BG90" s="47"/>
      <c r="BH90" s="47"/>
      <c r="BI90" s="47">
        <v>1.0286253139999999</v>
      </c>
      <c r="BJ90" s="47"/>
      <c r="BK90" s="47">
        <v>1.1128312250000001</v>
      </c>
      <c r="BL90" s="47"/>
      <c r="BM90" s="47"/>
    </row>
    <row r="91" spans="1:65" x14ac:dyDescent="0.2">
      <c r="A91" s="47" t="s">
        <v>355</v>
      </c>
      <c r="B91" s="53">
        <v>43414.963194444441</v>
      </c>
      <c r="C91" s="47" t="s">
        <v>69</v>
      </c>
      <c r="D91" s="47" t="s">
        <v>577</v>
      </c>
      <c r="E91" s="47" t="s">
        <v>70</v>
      </c>
      <c r="F91" s="53">
        <v>43410.25</v>
      </c>
      <c r="G91" s="47">
        <v>-10.47</v>
      </c>
      <c r="H91" s="47">
        <v>0</v>
      </c>
      <c r="I91" s="47">
        <v>7.04</v>
      </c>
      <c r="J91" s="47">
        <v>0</v>
      </c>
      <c r="K91" s="47">
        <v>38.18</v>
      </c>
      <c r="L91" s="47">
        <v>0</v>
      </c>
      <c r="M91" s="47">
        <v>6.0389999999999997</v>
      </c>
      <c r="N91" s="47">
        <v>1.2E-2</v>
      </c>
      <c r="O91" s="47">
        <v>-0.38500000000000001</v>
      </c>
      <c r="P91" s="47">
        <v>1.2E-2</v>
      </c>
      <c r="Q91" s="47">
        <v>25.292000000000002</v>
      </c>
      <c r="R91" s="47">
        <v>4.2999999999999997E-2</v>
      </c>
      <c r="S91" s="47">
        <v>-0.56000000000000005</v>
      </c>
      <c r="T91" s="47">
        <v>4.2999999999999997E-2</v>
      </c>
      <c r="U91" s="47">
        <v>-19.192</v>
      </c>
      <c r="V91" s="47">
        <v>2.641</v>
      </c>
      <c r="W91" s="47">
        <v>-37.399000000000001</v>
      </c>
      <c r="X91" s="47">
        <v>2.5920000000000001</v>
      </c>
      <c r="Y91" s="47">
        <v>-9.6526729990000001E-3</v>
      </c>
      <c r="Z91" s="47" t="s">
        <v>584</v>
      </c>
      <c r="AA91" s="47">
        <v>-0.32700000000000001</v>
      </c>
      <c r="AB91" s="47">
        <v>1.0184676500000001</v>
      </c>
      <c r="AC91" s="47">
        <v>0.93281370870000002</v>
      </c>
      <c r="AD91" s="47">
        <v>0.6</v>
      </c>
      <c r="AE91" s="47">
        <v>0</v>
      </c>
      <c r="AF91" s="47">
        <v>-1.867679727E-2</v>
      </c>
      <c r="AG91" s="47" t="s">
        <v>585</v>
      </c>
      <c r="AH91" s="47">
        <v>-8.7999999999999995E-2</v>
      </c>
      <c r="AI91" s="47">
        <v>0.86269864399999996</v>
      </c>
      <c r="AJ91" s="47">
        <v>0.31568031079999997</v>
      </c>
      <c r="AK91" s="47">
        <v>0.24</v>
      </c>
      <c r="AL91" s="47">
        <v>0</v>
      </c>
      <c r="AM91" s="47">
        <v>-10.25</v>
      </c>
      <c r="AN91" s="47"/>
      <c r="AO91" s="47"/>
      <c r="AP91" s="47">
        <v>-1.02</v>
      </c>
      <c r="AQ91" s="47"/>
      <c r="AR91" s="47"/>
      <c r="AS91" s="47">
        <v>29.87</v>
      </c>
      <c r="AT91" s="47"/>
      <c r="AU91" s="47"/>
      <c r="AV91" s="47">
        <v>0.6</v>
      </c>
      <c r="AW91" s="47"/>
      <c r="AX91" s="47"/>
      <c r="AY91" s="47"/>
      <c r="AZ91" s="47"/>
      <c r="BA91" s="47">
        <v>0.24</v>
      </c>
      <c r="BB91" s="47"/>
      <c r="BC91" s="47"/>
      <c r="BD91" s="47"/>
      <c r="BE91" s="47"/>
      <c r="BF91" s="47">
        <v>22.938097419999998</v>
      </c>
      <c r="BG91" s="47"/>
      <c r="BH91" s="47"/>
      <c r="BI91" s="47">
        <v>1.0296793390000001</v>
      </c>
      <c r="BJ91" s="47"/>
      <c r="BK91" s="47">
        <v>0.185165315</v>
      </c>
      <c r="BL91" s="47"/>
      <c r="BM91" s="47"/>
    </row>
    <row r="92" spans="1:65" x14ac:dyDescent="0.2">
      <c r="A92" s="47" t="s">
        <v>400</v>
      </c>
      <c r="B92" s="53">
        <v>43415.731249999997</v>
      </c>
      <c r="C92" s="47" t="s">
        <v>69</v>
      </c>
      <c r="D92" s="47" t="s">
        <v>577</v>
      </c>
      <c r="E92" s="47" t="s">
        <v>70</v>
      </c>
      <c r="F92" s="53">
        <v>43410.25</v>
      </c>
      <c r="G92" s="47">
        <v>-10.47</v>
      </c>
      <c r="H92" s="47">
        <v>0</v>
      </c>
      <c r="I92" s="47">
        <v>6.98</v>
      </c>
      <c r="J92" s="47">
        <v>0</v>
      </c>
      <c r="K92" s="47">
        <v>38.11</v>
      </c>
      <c r="L92" s="47">
        <v>0</v>
      </c>
      <c r="M92" s="47">
        <v>5.9809999999999999</v>
      </c>
      <c r="N92" s="47">
        <v>1.0999999999999999E-2</v>
      </c>
      <c r="O92" s="47">
        <v>-0.373</v>
      </c>
      <c r="P92" s="47">
        <v>1.0999999999999999E-2</v>
      </c>
      <c r="Q92" s="47">
        <v>25.178999999999998</v>
      </c>
      <c r="R92" s="47">
        <v>6.8000000000000005E-2</v>
      </c>
      <c r="S92" s="47">
        <v>-0.54200000000000004</v>
      </c>
      <c r="T92" s="47">
        <v>6.7000000000000004E-2</v>
      </c>
      <c r="U92" s="47">
        <v>-22.32</v>
      </c>
      <c r="V92" s="47">
        <v>4.0469999999999997</v>
      </c>
      <c r="W92" s="47">
        <v>-40.341999999999999</v>
      </c>
      <c r="X92" s="47">
        <v>3.972</v>
      </c>
      <c r="Y92" s="47">
        <v>-9.4382023930000003E-3</v>
      </c>
      <c r="Z92" s="47" t="s">
        <v>586</v>
      </c>
      <c r="AA92" s="47">
        <v>-0.317</v>
      </c>
      <c r="AB92" s="47">
        <v>1.039402717</v>
      </c>
      <c r="AC92" s="47">
        <v>0.94689753529999998</v>
      </c>
      <c r="AD92" s="47">
        <v>0.61699999999999999</v>
      </c>
      <c r="AE92" s="47">
        <v>0</v>
      </c>
      <c r="AF92" s="47">
        <v>-1.727645484E-2</v>
      </c>
      <c r="AG92" s="47" t="s">
        <v>587</v>
      </c>
      <c r="AH92" s="47">
        <v>-0.107</v>
      </c>
      <c r="AI92" s="47">
        <v>0.86269864399999996</v>
      </c>
      <c r="AJ92" s="47">
        <v>0.31568031079999997</v>
      </c>
      <c r="AK92" s="47">
        <v>0.224</v>
      </c>
      <c r="AL92" s="47">
        <v>0</v>
      </c>
      <c r="AM92" s="47">
        <v>-10.24</v>
      </c>
      <c r="AN92" s="47"/>
      <c r="AO92" s="47"/>
      <c r="AP92" s="47">
        <v>-1.05</v>
      </c>
      <c r="AQ92" s="47"/>
      <c r="AR92" s="47"/>
      <c r="AS92" s="47">
        <v>29.84</v>
      </c>
      <c r="AT92" s="47"/>
      <c r="AU92" s="47"/>
      <c r="AV92" s="47">
        <v>0.61699999999999999</v>
      </c>
      <c r="AW92" s="47"/>
      <c r="AX92" s="47"/>
      <c r="AY92" s="47"/>
      <c r="AZ92" s="47"/>
      <c r="BA92" s="47">
        <v>0.224</v>
      </c>
      <c r="BB92" s="47"/>
      <c r="BC92" s="47"/>
      <c r="BD92" s="47"/>
      <c r="BE92" s="47"/>
      <c r="BF92" s="47">
        <v>17.45152109</v>
      </c>
      <c r="BG92" s="47"/>
      <c r="BH92" s="47"/>
      <c r="BI92" s="47">
        <v>1.0308539649999999</v>
      </c>
      <c r="BJ92" s="47"/>
      <c r="BK92" s="47">
        <v>-0.98361687330000003</v>
      </c>
      <c r="BL92" s="47"/>
      <c r="BM92" s="47"/>
    </row>
    <row r="93" spans="1:65" x14ac:dyDescent="0.2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</row>
    <row r="94" spans="1:65" s="52" customFormat="1" x14ac:dyDescent="0.2">
      <c r="A94" s="50" t="s">
        <v>588</v>
      </c>
      <c r="B94" s="49"/>
      <c r="C94" s="49"/>
      <c r="D94" s="49"/>
      <c r="E94" s="49"/>
      <c r="F94" s="49"/>
      <c r="G94" s="49"/>
      <c r="H94" s="50">
        <v>0.76173595599999999</v>
      </c>
      <c r="I94" s="49"/>
      <c r="J94" s="50">
        <v>0.1167172509</v>
      </c>
      <c r="K94" s="49"/>
      <c r="L94" s="50">
        <v>0.11909380059999999</v>
      </c>
      <c r="M94" s="49"/>
      <c r="N94" s="50">
        <v>0.79577419059999999</v>
      </c>
      <c r="O94" s="49"/>
      <c r="P94" s="50">
        <v>1.7749999999999998E-2</v>
      </c>
      <c r="Q94" s="49"/>
      <c r="R94" s="50">
        <v>0.31228095659999999</v>
      </c>
      <c r="S94" s="49"/>
      <c r="T94" s="50">
        <v>0.14129424090000001</v>
      </c>
      <c r="U94" s="49"/>
      <c r="V94" s="50">
        <v>42.449004459999998</v>
      </c>
      <c r="W94" s="49"/>
      <c r="X94" s="50">
        <v>41.43661084</v>
      </c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50">
        <v>-10.345000000000001</v>
      </c>
      <c r="AO94" s="50">
        <v>1.530348544</v>
      </c>
      <c r="AP94" s="49"/>
      <c r="AQ94" s="50">
        <v>-0.125</v>
      </c>
      <c r="AR94" s="50">
        <v>0.1096965511</v>
      </c>
      <c r="AS94" s="49"/>
      <c r="AT94" s="50">
        <v>30.79</v>
      </c>
      <c r="AU94" s="50">
        <v>0.1128420725</v>
      </c>
      <c r="AV94" s="49"/>
      <c r="AW94" s="50">
        <v>0.59675</v>
      </c>
      <c r="AX94" s="50">
        <v>1.421486898E-2</v>
      </c>
      <c r="AY94" s="51">
        <v>2.8429737949999999E-2</v>
      </c>
      <c r="AZ94" s="51">
        <v>5.5437989010000001E-2</v>
      </c>
      <c r="BA94" s="49"/>
      <c r="BB94" s="50">
        <v>0.42799999999999999</v>
      </c>
      <c r="BC94" s="50">
        <v>0.15389011229999999</v>
      </c>
      <c r="BD94" s="49"/>
      <c r="BE94" s="49"/>
      <c r="BF94" s="49"/>
      <c r="BG94" s="50">
        <v>24.38553829</v>
      </c>
      <c r="BH94" s="50">
        <v>4.9956370059999999</v>
      </c>
      <c r="BI94" s="49"/>
      <c r="BJ94" s="50">
        <v>1.029429208</v>
      </c>
      <c r="BK94" s="49"/>
      <c r="BL94" s="50">
        <f>AVERAGE(BK95:BK98)</f>
        <v>1.3248448704774998</v>
      </c>
      <c r="BM94" s="50">
        <f>STDEV(BK95:BK98)</f>
        <v>2.013992991101107</v>
      </c>
    </row>
    <row r="95" spans="1:65" x14ac:dyDescent="0.2">
      <c r="A95" s="47" t="s">
        <v>67</v>
      </c>
      <c r="B95" s="53">
        <v>43397.841666666667</v>
      </c>
      <c r="C95" s="47" t="s">
        <v>69</v>
      </c>
      <c r="D95" s="47" t="s">
        <v>588</v>
      </c>
      <c r="E95" s="47" t="s">
        <v>70</v>
      </c>
      <c r="F95" s="53">
        <v>43387.808333333334</v>
      </c>
      <c r="G95" s="47">
        <v>-11.35</v>
      </c>
      <c r="H95" s="47">
        <v>0</v>
      </c>
      <c r="I95" s="47">
        <v>7.47</v>
      </c>
      <c r="J95" s="47">
        <v>0</v>
      </c>
      <c r="K95" s="47">
        <v>38.619999999999997</v>
      </c>
      <c r="L95" s="47">
        <v>0</v>
      </c>
      <c r="M95" s="47">
        <v>5.681</v>
      </c>
      <c r="N95" s="47">
        <v>1.6E-2</v>
      </c>
      <c r="O95" s="47">
        <v>-0.315</v>
      </c>
      <c r="P95" s="47">
        <v>1.7000000000000001E-2</v>
      </c>
      <c r="Q95" s="47">
        <v>26.018999999999998</v>
      </c>
      <c r="R95" s="47">
        <v>2.7E-2</v>
      </c>
      <c r="S95" s="47">
        <v>-0.70099999999999996</v>
      </c>
      <c r="T95" s="47">
        <v>2.7E-2</v>
      </c>
      <c r="U95" s="47">
        <v>-16.52</v>
      </c>
      <c r="V95" s="47">
        <v>2.9750000000000001</v>
      </c>
      <c r="W95" s="47">
        <v>-34.741999999999997</v>
      </c>
      <c r="X95" s="47">
        <v>2.92</v>
      </c>
      <c r="Y95" s="47">
        <v>-8.7261038079999992E-3</v>
      </c>
      <c r="Z95" s="47" t="s">
        <v>589</v>
      </c>
      <c r="AA95" s="47">
        <v>-0.26600000000000001</v>
      </c>
      <c r="AB95" s="47">
        <v>1.1243344280000001</v>
      </c>
      <c r="AC95" s="47">
        <v>0.8533245908</v>
      </c>
      <c r="AD95" s="47">
        <v>0.55500000000000005</v>
      </c>
      <c r="AE95" s="47">
        <v>0</v>
      </c>
      <c r="AF95" s="47">
        <v>-2.1055576199999999E-2</v>
      </c>
      <c r="AG95" s="47" t="s">
        <v>590</v>
      </c>
      <c r="AH95" s="47">
        <v>-0.153</v>
      </c>
      <c r="AI95" s="47">
        <v>0.78606619580000003</v>
      </c>
      <c r="AJ95" s="47">
        <v>0.27819339920000002</v>
      </c>
      <c r="AK95" s="47">
        <v>0.158</v>
      </c>
      <c r="AL95" s="47">
        <v>0</v>
      </c>
      <c r="AM95" s="47">
        <v>-11.15</v>
      </c>
      <c r="AN95" s="47"/>
      <c r="AO95" s="47"/>
      <c r="AP95" s="47">
        <v>-0.03</v>
      </c>
      <c r="AQ95" s="47"/>
      <c r="AR95" s="47"/>
      <c r="AS95" s="47">
        <v>30.89</v>
      </c>
      <c r="AT95" s="47"/>
      <c r="AU95" s="47"/>
      <c r="AV95" s="47">
        <v>0.55500000000000005</v>
      </c>
      <c r="AW95" s="47"/>
      <c r="AX95" s="47"/>
      <c r="AY95" s="47"/>
      <c r="AZ95" s="47"/>
      <c r="BA95" s="47">
        <v>0.158</v>
      </c>
      <c r="BB95" s="47"/>
      <c r="BC95" s="47"/>
      <c r="BD95" s="47"/>
      <c r="BE95" s="47"/>
      <c r="BF95" s="47">
        <v>39.109882810000002</v>
      </c>
      <c r="BG95" s="47"/>
      <c r="BH95" s="47"/>
      <c r="BI95" s="47">
        <v>1.0264641139999999</v>
      </c>
      <c r="BJ95" s="47"/>
      <c r="BK95" s="47">
        <v>4.3117787439999997</v>
      </c>
      <c r="BL95" s="47"/>
      <c r="BM95" s="47"/>
    </row>
    <row r="96" spans="1:65" x14ac:dyDescent="0.2">
      <c r="A96" s="47" t="s">
        <v>81</v>
      </c>
      <c r="B96" s="53">
        <v>43409.677777777775</v>
      </c>
      <c r="C96" s="47" t="s">
        <v>69</v>
      </c>
      <c r="D96" s="47" t="s">
        <v>588</v>
      </c>
      <c r="E96" s="47" t="s">
        <v>70</v>
      </c>
      <c r="F96" s="53">
        <v>43402.436111111114</v>
      </c>
      <c r="G96" s="47">
        <v>-11.3</v>
      </c>
      <c r="H96" s="47">
        <v>0</v>
      </c>
      <c r="I96" s="47">
        <v>7.81</v>
      </c>
      <c r="J96" s="47">
        <v>0</v>
      </c>
      <c r="K96" s="47">
        <v>38.97</v>
      </c>
      <c r="L96" s="47">
        <v>0</v>
      </c>
      <c r="M96" s="47">
        <v>6.0149999999999997</v>
      </c>
      <c r="N96" s="47">
        <v>1.7000000000000001E-2</v>
      </c>
      <c r="O96" s="47">
        <v>-0.37</v>
      </c>
      <c r="P96" s="47">
        <v>1.4999999999999999E-2</v>
      </c>
      <c r="Q96" s="47">
        <v>27.375</v>
      </c>
      <c r="R96" s="47">
        <v>0.06</v>
      </c>
      <c r="S96" s="47">
        <v>-4.4999999999999998E-2</v>
      </c>
      <c r="T96" s="47">
        <v>6.0999999999999999E-2</v>
      </c>
      <c r="U96" s="47">
        <v>-193.392</v>
      </c>
      <c r="V96" s="47">
        <v>2.7450000000000001</v>
      </c>
      <c r="W96" s="47">
        <v>-208.90299999999999</v>
      </c>
      <c r="X96" s="47">
        <v>2.6869999999999998</v>
      </c>
      <c r="Y96" s="47">
        <v>-8.4373514279999992E-3</v>
      </c>
      <c r="Z96" s="47" t="s">
        <v>591</v>
      </c>
      <c r="AA96" s="47">
        <v>-0.32</v>
      </c>
      <c r="AB96" s="47">
        <v>0.989407378</v>
      </c>
      <c r="AC96" s="47">
        <v>0.91947831260000001</v>
      </c>
      <c r="AD96" s="47">
        <v>0.60299999999999998</v>
      </c>
      <c r="AE96" s="47">
        <v>0</v>
      </c>
      <c r="AF96" s="47">
        <v>-1.965637227E-2</v>
      </c>
      <c r="AG96" s="47" t="s">
        <v>592</v>
      </c>
      <c r="AH96" s="47">
        <v>0.49299999999999999</v>
      </c>
      <c r="AI96" s="47">
        <v>1.1712216639999999</v>
      </c>
      <c r="AJ96" s="47">
        <v>0.28313993599999998</v>
      </c>
      <c r="AK96" s="47">
        <v>0.86099999999999999</v>
      </c>
      <c r="AL96" s="47">
        <v>0</v>
      </c>
      <c r="AM96" s="47">
        <v>-11.07</v>
      </c>
      <c r="AN96" s="47"/>
      <c r="AO96" s="47"/>
      <c r="AP96" s="47">
        <v>-0.28000000000000003</v>
      </c>
      <c r="AQ96" s="47"/>
      <c r="AR96" s="47"/>
      <c r="AS96" s="47">
        <v>30.63</v>
      </c>
      <c r="AT96" s="47"/>
      <c r="AU96" s="47"/>
      <c r="AV96" s="47">
        <v>0.60299999999999998</v>
      </c>
      <c r="AW96" s="47"/>
      <c r="AX96" s="47"/>
      <c r="AY96" s="47"/>
      <c r="AZ96" s="47"/>
      <c r="BA96" s="47">
        <v>0.86099999999999999</v>
      </c>
      <c r="BB96" s="47"/>
      <c r="BC96" s="47"/>
      <c r="BD96" s="47"/>
      <c r="BE96" s="47"/>
      <c r="BF96" s="47">
        <v>21.947281159999999</v>
      </c>
      <c r="BG96" s="47"/>
      <c r="BH96" s="47"/>
      <c r="BI96" s="47">
        <v>1.0298881339999999</v>
      </c>
      <c r="BJ96" s="47"/>
      <c r="BK96" s="47">
        <v>0.72033619339999999</v>
      </c>
      <c r="BL96" s="47"/>
      <c r="BM96" s="47"/>
    </row>
    <row r="97" spans="1:65" x14ac:dyDescent="0.2">
      <c r="A97" s="47" t="s">
        <v>89</v>
      </c>
      <c r="B97" s="53">
        <v>43410.676388888889</v>
      </c>
      <c r="C97" s="47" t="s">
        <v>69</v>
      </c>
      <c r="D97" s="47" t="s">
        <v>588</v>
      </c>
      <c r="E97" s="47" t="s">
        <v>70</v>
      </c>
      <c r="F97" s="53">
        <v>43410.25</v>
      </c>
      <c r="G97" s="47">
        <v>-8.2799999999999994</v>
      </c>
      <c r="H97" s="47">
        <v>0</v>
      </c>
      <c r="I97" s="47">
        <v>7.96</v>
      </c>
      <c r="J97" s="47">
        <v>0</v>
      </c>
      <c r="K97" s="47">
        <v>39.119999999999997</v>
      </c>
      <c r="L97" s="47">
        <v>0</v>
      </c>
      <c r="M97" s="47">
        <v>9.1039999999999992</v>
      </c>
      <c r="N97" s="47">
        <v>1.2E-2</v>
      </c>
      <c r="O97" s="47">
        <v>-0.39900000000000002</v>
      </c>
      <c r="P97" s="47">
        <v>1.2E-2</v>
      </c>
      <c r="Q97" s="47">
        <v>27.184000000000001</v>
      </c>
      <c r="R97" s="47">
        <v>6.0999999999999999E-2</v>
      </c>
      <c r="S97" s="47">
        <v>-0.53900000000000003</v>
      </c>
      <c r="T97" s="47">
        <v>5.8000000000000003E-2</v>
      </c>
      <c r="U97" s="47">
        <v>-25.963999999999999</v>
      </c>
      <c r="V97" s="47">
        <v>3.7829999999999999</v>
      </c>
      <c r="W97" s="47">
        <v>-47.884999999999998</v>
      </c>
      <c r="X97" s="47">
        <v>3.6970000000000001</v>
      </c>
      <c r="Y97" s="47">
        <v>-9.6424924739999997E-3</v>
      </c>
      <c r="Z97" s="47" t="s">
        <v>593</v>
      </c>
      <c r="AA97" s="47">
        <v>-0.311</v>
      </c>
      <c r="AB97" s="47">
        <v>1.013436472</v>
      </c>
      <c r="AC97" s="47">
        <v>0.92727682150000001</v>
      </c>
      <c r="AD97" s="47">
        <v>0.61199999999999999</v>
      </c>
      <c r="AE97" s="47">
        <v>0</v>
      </c>
      <c r="AF97" s="47">
        <v>-2.35846945E-2</v>
      </c>
      <c r="AG97" s="47" t="s">
        <v>594</v>
      </c>
      <c r="AH97" s="47">
        <v>0.10199999999999999</v>
      </c>
      <c r="AI97" s="47">
        <v>0.91027428440000002</v>
      </c>
      <c r="AJ97" s="47">
        <v>0.32580981380000001</v>
      </c>
      <c r="AK97" s="47">
        <v>0.41899999999999998</v>
      </c>
      <c r="AL97" s="47">
        <v>0</v>
      </c>
      <c r="AM97" s="47">
        <v>-8.0500000000000007</v>
      </c>
      <c r="AN97" s="47"/>
      <c r="AO97" s="47"/>
      <c r="AP97" s="47">
        <v>-0.12</v>
      </c>
      <c r="AQ97" s="47"/>
      <c r="AR97" s="47"/>
      <c r="AS97" s="47">
        <v>30.8</v>
      </c>
      <c r="AT97" s="47"/>
      <c r="AU97" s="47"/>
      <c r="AV97" s="47">
        <v>0.61199999999999999</v>
      </c>
      <c r="AW97" s="47"/>
      <c r="AX97" s="47"/>
      <c r="AY97" s="47"/>
      <c r="AZ97" s="47"/>
      <c r="BA97" s="47">
        <v>0.41899999999999998</v>
      </c>
      <c r="BB97" s="47"/>
      <c r="BC97" s="47"/>
      <c r="BD97" s="47"/>
      <c r="BE97" s="47"/>
      <c r="BF97" s="47">
        <v>19.033468110000001</v>
      </c>
      <c r="BG97" s="47"/>
      <c r="BH97" s="47"/>
      <c r="BI97" s="47">
        <v>1.03051062</v>
      </c>
      <c r="BJ97" s="47"/>
      <c r="BK97" s="47">
        <v>0.28081190880000001</v>
      </c>
      <c r="BL97" s="47"/>
      <c r="BM97" s="47"/>
    </row>
    <row r="98" spans="1:65" x14ac:dyDescent="0.2">
      <c r="A98" s="47" t="s">
        <v>355</v>
      </c>
      <c r="B98" s="53">
        <v>43415.818749999999</v>
      </c>
      <c r="C98" s="47" t="s">
        <v>69</v>
      </c>
      <c r="D98" s="47" t="s">
        <v>588</v>
      </c>
      <c r="E98" s="47" t="s">
        <v>70</v>
      </c>
      <c r="F98" s="53">
        <v>43410.25</v>
      </c>
      <c r="G98" s="47">
        <v>-11.33</v>
      </c>
      <c r="H98" s="47">
        <v>0</v>
      </c>
      <c r="I98" s="47">
        <v>7.97</v>
      </c>
      <c r="J98" s="47">
        <v>0</v>
      </c>
      <c r="K98" s="47">
        <v>39.130000000000003</v>
      </c>
      <c r="L98" s="47">
        <v>0</v>
      </c>
      <c r="M98" s="47">
        <v>6.1369999999999996</v>
      </c>
      <c r="N98" s="47">
        <v>1.2999999999999999E-2</v>
      </c>
      <c r="O98" s="47">
        <v>-0.375</v>
      </c>
      <c r="P98" s="47">
        <v>1.2E-2</v>
      </c>
      <c r="Q98" s="47">
        <v>27.210999999999999</v>
      </c>
      <c r="R98" s="47">
        <v>6.4000000000000001E-2</v>
      </c>
      <c r="S98" s="47">
        <v>-0.51800000000000002</v>
      </c>
      <c r="T98" s="47">
        <v>6.3E-2</v>
      </c>
      <c r="U98" s="47">
        <v>-29.346</v>
      </c>
      <c r="V98" s="47">
        <v>3.952</v>
      </c>
      <c r="W98" s="47">
        <v>-48.277000000000001</v>
      </c>
      <c r="X98" s="47">
        <v>3.875</v>
      </c>
      <c r="Y98" s="47">
        <v>-9.4382023930000003E-3</v>
      </c>
      <c r="Z98" s="47" t="s">
        <v>595</v>
      </c>
      <c r="AA98" s="47">
        <v>-0.317</v>
      </c>
      <c r="AB98" s="47">
        <v>1.039402717</v>
      </c>
      <c r="AC98" s="47">
        <v>0.94689753529999998</v>
      </c>
      <c r="AD98" s="47">
        <v>0.61699999999999999</v>
      </c>
      <c r="AE98" s="47">
        <v>0</v>
      </c>
      <c r="AF98" s="47">
        <v>-1.727645484E-2</v>
      </c>
      <c r="AG98" s="47" t="s">
        <v>596</v>
      </c>
      <c r="AH98" s="47">
        <v>-4.8000000000000001E-2</v>
      </c>
      <c r="AI98" s="47">
        <v>0.86269864399999996</v>
      </c>
      <c r="AJ98" s="47">
        <v>0.31568031079999997</v>
      </c>
      <c r="AK98" s="47">
        <v>0.27400000000000002</v>
      </c>
      <c r="AL98" s="47">
        <v>0</v>
      </c>
      <c r="AM98" s="47">
        <v>-11.11</v>
      </c>
      <c r="AN98" s="47"/>
      <c r="AO98" s="47"/>
      <c r="AP98" s="47">
        <v>-7.0000000000000007E-2</v>
      </c>
      <c r="AQ98" s="47"/>
      <c r="AR98" s="47"/>
      <c r="AS98" s="47">
        <v>30.84</v>
      </c>
      <c r="AT98" s="47"/>
      <c r="AU98" s="47"/>
      <c r="AV98" s="47">
        <v>0.61699999999999999</v>
      </c>
      <c r="AW98" s="47"/>
      <c r="AX98" s="47"/>
      <c r="AY98" s="47"/>
      <c r="AZ98" s="47"/>
      <c r="BA98" s="47">
        <v>0.27400000000000002</v>
      </c>
      <c r="BB98" s="47"/>
      <c r="BC98" s="47"/>
      <c r="BD98" s="47"/>
      <c r="BE98" s="47"/>
      <c r="BF98" s="47">
        <v>17.45152109</v>
      </c>
      <c r="BG98" s="47"/>
      <c r="BH98" s="47"/>
      <c r="BI98" s="47">
        <v>1.0308539649999999</v>
      </c>
      <c r="BJ98" s="47"/>
      <c r="BK98" s="47">
        <v>-1.3547364290000001E-2</v>
      </c>
      <c r="BL98" s="47"/>
      <c r="BM98" s="4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A70E-8A1C-F348-B5AA-B870B44E9DB1}">
  <dimension ref="A1:BM85"/>
  <sheetViews>
    <sheetView tabSelected="1" workbookViewId="0">
      <selection activeCell="G13" sqref="G13"/>
    </sheetView>
  </sheetViews>
  <sheetFormatPr baseColWidth="10" defaultRowHeight="16" x14ac:dyDescent="0.2"/>
  <sheetData>
    <row r="1" spans="1:65" s="46" customFormat="1" ht="96" x14ac:dyDescent="0.2">
      <c r="A1" s="39" t="s">
        <v>1</v>
      </c>
      <c r="B1" s="39" t="s">
        <v>2</v>
      </c>
      <c r="C1" s="39" t="s">
        <v>3</v>
      </c>
      <c r="D1" s="39" t="s">
        <v>4</v>
      </c>
      <c r="E1" s="39" t="s">
        <v>5</v>
      </c>
      <c r="F1" s="39" t="s">
        <v>6</v>
      </c>
      <c r="G1" s="39" t="s">
        <v>7</v>
      </c>
      <c r="H1" s="39" t="s">
        <v>8</v>
      </c>
      <c r="I1" s="39" t="s">
        <v>9</v>
      </c>
      <c r="J1" s="39" t="s">
        <v>10</v>
      </c>
      <c r="K1" s="39" t="s">
        <v>11</v>
      </c>
      <c r="L1" s="39" t="s">
        <v>12</v>
      </c>
      <c r="M1" s="39" t="s">
        <v>13</v>
      </c>
      <c r="N1" s="39" t="s">
        <v>14</v>
      </c>
      <c r="O1" s="40" t="s">
        <v>15</v>
      </c>
      <c r="P1" s="40" t="s">
        <v>16</v>
      </c>
      <c r="Q1" s="39" t="s">
        <v>17</v>
      </c>
      <c r="R1" s="39" t="s">
        <v>18</v>
      </c>
      <c r="S1" s="39" t="s">
        <v>19</v>
      </c>
      <c r="T1" s="39" t="s">
        <v>20</v>
      </c>
      <c r="U1" s="39" t="s">
        <v>21</v>
      </c>
      <c r="V1" s="39" t="s">
        <v>22</v>
      </c>
      <c r="W1" s="40" t="s">
        <v>23</v>
      </c>
      <c r="X1" s="40" t="s">
        <v>24</v>
      </c>
      <c r="Y1" s="39" t="s">
        <v>25</v>
      </c>
      <c r="Z1" s="39" t="s">
        <v>26</v>
      </c>
      <c r="AA1" s="39" t="s">
        <v>27</v>
      </c>
      <c r="AB1" s="39" t="s">
        <v>28</v>
      </c>
      <c r="AC1" s="39" t="s">
        <v>29</v>
      </c>
      <c r="AD1" s="39" t="s">
        <v>30</v>
      </c>
      <c r="AE1" s="39" t="s">
        <v>31</v>
      </c>
      <c r="AF1" s="41" t="s">
        <v>32</v>
      </c>
      <c r="AG1" s="41" t="s">
        <v>33</v>
      </c>
      <c r="AH1" s="41" t="s">
        <v>34</v>
      </c>
      <c r="AI1" s="39" t="s">
        <v>35</v>
      </c>
      <c r="AJ1" s="39" t="s">
        <v>36</v>
      </c>
      <c r="AK1" s="39" t="s">
        <v>37</v>
      </c>
      <c r="AL1" s="39" t="s">
        <v>38</v>
      </c>
      <c r="AM1" s="40" t="s">
        <v>39</v>
      </c>
      <c r="AN1" s="40" t="s">
        <v>40</v>
      </c>
      <c r="AO1" s="40" t="s">
        <v>41</v>
      </c>
      <c r="AP1" s="40" t="s">
        <v>42</v>
      </c>
      <c r="AQ1" s="40" t="s">
        <v>43</v>
      </c>
      <c r="AR1" s="40" t="s">
        <v>44</v>
      </c>
      <c r="AS1" s="40" t="s">
        <v>45</v>
      </c>
      <c r="AT1" s="40" t="s">
        <v>46</v>
      </c>
      <c r="AU1" s="40" t="s">
        <v>47</v>
      </c>
      <c r="AV1" s="42" t="s">
        <v>48</v>
      </c>
      <c r="AW1" s="42" t="s">
        <v>49</v>
      </c>
      <c r="AX1" s="42" t="s">
        <v>51</v>
      </c>
      <c r="AY1" s="43" t="s">
        <v>340</v>
      </c>
      <c r="AZ1" s="43" t="s">
        <v>341</v>
      </c>
      <c r="BA1" s="43" t="s">
        <v>52</v>
      </c>
      <c r="BB1" s="43" t="s">
        <v>53</v>
      </c>
      <c r="BC1" s="43" t="s">
        <v>54</v>
      </c>
      <c r="BD1" s="44" t="s">
        <v>55</v>
      </c>
      <c r="BE1" s="44" t="s">
        <v>56</v>
      </c>
      <c r="BF1" s="45" t="s">
        <v>57</v>
      </c>
      <c r="BG1" s="45" t="s">
        <v>58</v>
      </c>
      <c r="BH1" s="45" t="s">
        <v>59</v>
      </c>
      <c r="BI1" s="38" t="s">
        <v>60</v>
      </c>
      <c r="BJ1" s="38" t="s">
        <v>61</v>
      </c>
      <c r="BK1" s="38" t="s">
        <v>62</v>
      </c>
      <c r="BL1" s="38" t="s">
        <v>63</v>
      </c>
      <c r="BM1" s="40" t="s">
        <v>64</v>
      </c>
    </row>
    <row r="2" spans="1:65" x14ac:dyDescent="0.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8">
        <v>3.9100000000000003E-2</v>
      </c>
      <c r="BE2" s="48">
        <v>0.154</v>
      </c>
      <c r="BF2" s="47"/>
      <c r="BG2" s="47"/>
      <c r="BH2" s="47"/>
      <c r="BI2" s="47"/>
      <c r="BJ2" s="47"/>
      <c r="BK2" s="47"/>
      <c r="BL2" s="47"/>
      <c r="BM2" s="47"/>
    </row>
    <row r="3" spans="1:65" s="52" customFormat="1" x14ac:dyDescent="0.2">
      <c r="A3" s="50" t="s">
        <v>342</v>
      </c>
      <c r="B3" s="49"/>
      <c r="C3" s="49"/>
      <c r="D3" s="49"/>
      <c r="E3" s="49"/>
      <c r="F3" s="49"/>
      <c r="G3" s="49"/>
      <c r="H3" s="50">
        <v>5.507570547E-2</v>
      </c>
      <c r="I3" s="49"/>
      <c r="J3" s="50">
        <v>2.905932629E-2</v>
      </c>
      <c r="K3" s="49"/>
      <c r="L3" s="50">
        <v>2.9627314719999999E-2</v>
      </c>
      <c r="M3" s="49"/>
      <c r="N3" s="50">
        <v>8.6216781039999996E-2</v>
      </c>
      <c r="O3" s="49"/>
      <c r="P3" s="50">
        <v>8.4129529759999992E-3</v>
      </c>
      <c r="Q3" s="49"/>
      <c r="R3" s="50">
        <v>4.3055519709999997E-2</v>
      </c>
      <c r="S3" s="49"/>
      <c r="T3" s="50">
        <v>5.3687366610000002E-2</v>
      </c>
      <c r="U3" s="49"/>
      <c r="V3" s="50">
        <v>1.5002587549999999</v>
      </c>
      <c r="W3" s="49"/>
      <c r="X3" s="50">
        <v>1.5510148290000001</v>
      </c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50">
        <v>-9.26</v>
      </c>
      <c r="AO3" s="50">
        <v>9.8488578019999995E-2</v>
      </c>
      <c r="AP3" s="49"/>
      <c r="AQ3" s="50">
        <f>AVERAGE(AP4:AP6)</f>
        <v>0.21666666666666667</v>
      </c>
      <c r="AR3" s="50">
        <v>4.0414518839999997E-2</v>
      </c>
      <c r="AS3" s="49"/>
      <c r="AT3" s="50">
        <v>31.143333330000001</v>
      </c>
      <c r="AU3" s="50">
        <v>3.7859388969999998E-2</v>
      </c>
      <c r="AV3" s="49"/>
      <c r="AW3" s="50">
        <v>0.61933333329999996</v>
      </c>
      <c r="AX3" s="50">
        <v>1.0728984630000001E-2</v>
      </c>
      <c r="AY3" s="51">
        <v>1.8583146490000001E-2</v>
      </c>
      <c r="AZ3" s="51">
        <v>3.6237135650000002E-2</v>
      </c>
      <c r="BA3" s="49"/>
      <c r="BB3" s="50">
        <v>0.37966666669999999</v>
      </c>
      <c r="BC3" s="50">
        <v>0.1903543479</v>
      </c>
      <c r="BD3" s="49"/>
      <c r="BE3" s="49"/>
      <c r="BF3" s="49"/>
      <c r="BG3" s="50">
        <v>16.836205020000001</v>
      </c>
      <c r="BH3" s="50">
        <v>3.3057143409999998</v>
      </c>
      <c r="BI3" s="49"/>
      <c r="BJ3" s="50">
        <v>1.0310057260000001</v>
      </c>
      <c r="BK3" s="49"/>
      <c r="BL3" s="50">
        <f>AVERAGE(BK4:BK6)</f>
        <v>0.1344622150333333</v>
      </c>
      <c r="BM3" s="50">
        <f>STDEV(BK4:BK6)</f>
        <v>1.2138259459442309</v>
      </c>
    </row>
    <row r="4" spans="1:65" x14ac:dyDescent="0.2">
      <c r="A4" s="47" t="s">
        <v>67</v>
      </c>
      <c r="B4" s="53">
        <v>43236.044444444444</v>
      </c>
      <c r="C4" s="47" t="s">
        <v>69</v>
      </c>
      <c r="D4" s="47" t="s">
        <v>342</v>
      </c>
      <c r="E4" s="47" t="s">
        <v>70</v>
      </c>
      <c r="F4" s="53">
        <v>43137.208333333336</v>
      </c>
      <c r="G4" s="47">
        <v>-9.25</v>
      </c>
      <c r="H4" s="47">
        <v>0</v>
      </c>
      <c r="I4" s="47">
        <v>8.65</v>
      </c>
      <c r="J4" s="47">
        <v>0</v>
      </c>
      <c r="K4" s="47">
        <v>39.840000000000003</v>
      </c>
      <c r="L4" s="47">
        <v>0</v>
      </c>
      <c r="M4" s="47">
        <v>8.8520000000000003</v>
      </c>
      <c r="N4" s="47">
        <v>8.9999999999999993E-3</v>
      </c>
      <c r="O4" s="47">
        <v>-0.40699999999999997</v>
      </c>
      <c r="P4" s="47">
        <v>8.0000000000000002E-3</v>
      </c>
      <c r="Q4" s="47">
        <v>28.416</v>
      </c>
      <c r="R4" s="47">
        <v>6.2E-2</v>
      </c>
      <c r="S4" s="47">
        <v>-0.71499999999999997</v>
      </c>
      <c r="T4" s="47">
        <v>5.6000000000000001E-2</v>
      </c>
      <c r="U4" s="47">
        <v>-23.41</v>
      </c>
      <c r="V4" s="47">
        <v>4.4779999999999998</v>
      </c>
      <c r="W4" s="47">
        <v>-45.771000000000001</v>
      </c>
      <c r="X4" s="47">
        <v>4.3769999999999998</v>
      </c>
      <c r="Y4" s="47">
        <v>-1.029100675E-2</v>
      </c>
      <c r="Z4" s="47" t="s">
        <v>343</v>
      </c>
      <c r="AA4" s="47">
        <v>-0.315</v>
      </c>
      <c r="AB4" s="47">
        <v>1.028535897</v>
      </c>
      <c r="AC4" s="47">
        <v>0.92816004600000002</v>
      </c>
      <c r="AD4" s="47">
        <v>0.60399999999999998</v>
      </c>
      <c r="AE4" s="47">
        <v>0</v>
      </c>
      <c r="AF4" s="47">
        <v>-2.215229229E-2</v>
      </c>
      <c r="AG4" s="47" t="s">
        <v>344</v>
      </c>
      <c r="AH4" s="47">
        <v>-8.5999999999999993E-2</v>
      </c>
      <c r="AI4" s="47">
        <v>0.71031161789999997</v>
      </c>
      <c r="AJ4" s="47">
        <v>0.27836553419999999</v>
      </c>
      <c r="AK4" s="47">
        <v>0.218</v>
      </c>
      <c r="AL4" s="47">
        <v>0</v>
      </c>
      <c r="AM4" s="47">
        <v>-9.18</v>
      </c>
      <c r="AN4" s="47"/>
      <c r="AO4" s="47"/>
      <c r="AP4" s="47">
        <v>0.24</v>
      </c>
      <c r="AQ4" s="47"/>
      <c r="AR4" s="47"/>
      <c r="AS4" s="47">
        <v>31.16</v>
      </c>
      <c r="AT4" s="47"/>
      <c r="AU4" s="47"/>
      <c r="AV4" s="47">
        <v>0.60399999999999998</v>
      </c>
      <c r="AW4" s="47"/>
      <c r="AX4" s="47"/>
      <c r="AY4" s="47"/>
      <c r="AZ4" s="47"/>
      <c r="BA4" s="47">
        <v>0.218</v>
      </c>
      <c r="BB4" s="47"/>
      <c r="BC4" s="47"/>
      <c r="BD4" s="47"/>
      <c r="BE4" s="47"/>
      <c r="BF4" s="47">
        <v>21.61921293</v>
      </c>
      <c r="BG4" s="47"/>
      <c r="BH4" s="47"/>
      <c r="BI4" s="47">
        <v>1.029957587</v>
      </c>
      <c r="BJ4" s="47"/>
      <c r="BK4" s="47">
        <v>1.167439345</v>
      </c>
      <c r="BL4" s="47"/>
      <c r="BM4" s="47"/>
    </row>
    <row r="5" spans="1:65" x14ac:dyDescent="0.2">
      <c r="A5" s="47" t="s">
        <v>81</v>
      </c>
      <c r="B5" s="53">
        <v>43253.731944444444</v>
      </c>
      <c r="C5" s="47" t="s">
        <v>69</v>
      </c>
      <c r="D5" s="47" t="s">
        <v>342</v>
      </c>
      <c r="E5" s="47" t="s">
        <v>70</v>
      </c>
      <c r="F5" s="53">
        <v>43243.041666666664</v>
      </c>
      <c r="G5" s="47">
        <v>-9.26</v>
      </c>
      <c r="H5" s="47">
        <v>0</v>
      </c>
      <c r="I5" s="47">
        <v>8.69</v>
      </c>
      <c r="J5" s="47">
        <v>0</v>
      </c>
      <c r="K5" s="47">
        <v>39.869999999999997</v>
      </c>
      <c r="L5" s="47">
        <v>0</v>
      </c>
      <c r="M5" s="47">
        <v>8.9019999999999992</v>
      </c>
      <c r="N5" s="47">
        <v>1.2999999999999999E-2</v>
      </c>
      <c r="O5" s="47">
        <v>-0.38</v>
      </c>
      <c r="P5" s="47">
        <v>1.2E-2</v>
      </c>
      <c r="Q5" s="47">
        <v>28.564</v>
      </c>
      <c r="R5" s="47">
        <v>0.04</v>
      </c>
      <c r="S5" s="47">
        <v>-0.63900000000000001</v>
      </c>
      <c r="T5" s="47">
        <v>3.5999999999999997E-2</v>
      </c>
      <c r="U5" s="47">
        <v>-20.831</v>
      </c>
      <c r="V5" s="47">
        <v>1.857</v>
      </c>
      <c r="W5" s="47">
        <v>-43.305</v>
      </c>
      <c r="X5" s="47">
        <v>1.8149999999999999</v>
      </c>
      <c r="Y5" s="47">
        <v>-9.6632513749999992E-3</v>
      </c>
      <c r="Z5" s="47" t="s">
        <v>345</v>
      </c>
      <c r="AA5" s="47">
        <v>-0.29399999999999998</v>
      </c>
      <c r="AB5" s="47">
        <v>1.0630691640000001</v>
      </c>
      <c r="AC5" s="47">
        <v>0.95223625249999999</v>
      </c>
      <c r="AD5" s="47">
        <v>0.64</v>
      </c>
      <c r="AE5" s="47">
        <v>0</v>
      </c>
      <c r="AF5" s="47">
        <v>-1.637634835E-2</v>
      </c>
      <c r="AG5" s="47" t="s">
        <v>346</v>
      </c>
      <c r="AH5" s="47">
        <v>-0.17100000000000001</v>
      </c>
      <c r="AI5" s="47">
        <v>1.3072849230000001</v>
      </c>
      <c r="AJ5" s="47">
        <v>0.38582342749999998</v>
      </c>
      <c r="AK5" s="47">
        <v>0.16200000000000001</v>
      </c>
      <c r="AL5" s="47">
        <v>0</v>
      </c>
      <c r="AM5" s="47">
        <v>-9.23</v>
      </c>
      <c r="AN5" s="47"/>
      <c r="AO5" s="47"/>
      <c r="AP5" s="47">
        <v>0.24</v>
      </c>
      <c r="AQ5" s="47"/>
      <c r="AR5" s="47"/>
      <c r="AS5" s="47">
        <v>31.17</v>
      </c>
      <c r="AT5" s="47"/>
      <c r="AU5" s="47"/>
      <c r="AV5" s="47">
        <v>0.64</v>
      </c>
      <c r="AW5" s="47"/>
      <c r="AX5" s="47"/>
      <c r="AY5" s="47"/>
      <c r="AZ5" s="47"/>
      <c r="BA5" s="47">
        <v>0.16200000000000001</v>
      </c>
      <c r="BB5" s="47"/>
      <c r="BC5" s="47"/>
      <c r="BD5" s="47"/>
      <c r="BE5" s="47"/>
      <c r="BF5" s="47">
        <v>10.49180739</v>
      </c>
      <c r="BG5" s="47"/>
      <c r="BH5" s="47"/>
      <c r="BI5" s="47">
        <v>1.0324114209999999</v>
      </c>
      <c r="BJ5" s="47"/>
      <c r="BK5" s="47">
        <v>-1.2024482620000001</v>
      </c>
      <c r="BL5" s="47"/>
      <c r="BM5" s="47"/>
    </row>
    <row r="6" spans="1:65" x14ac:dyDescent="0.2">
      <c r="A6" s="47" t="s">
        <v>89</v>
      </c>
      <c r="B6" s="53">
        <v>43287.821527777778</v>
      </c>
      <c r="C6" s="47" t="s">
        <v>69</v>
      </c>
      <c r="D6" s="47" t="s">
        <v>342</v>
      </c>
      <c r="E6" s="47" t="s">
        <v>70</v>
      </c>
      <c r="F6" s="53">
        <v>43243.041666666664</v>
      </c>
      <c r="G6" s="47">
        <v>-9.42</v>
      </c>
      <c r="H6" s="47">
        <v>0</v>
      </c>
      <c r="I6" s="47">
        <v>8.59</v>
      </c>
      <c r="J6" s="47">
        <v>0</v>
      </c>
      <c r="K6" s="47">
        <v>39.770000000000003</v>
      </c>
      <c r="L6" s="47">
        <v>0</v>
      </c>
      <c r="M6" s="47">
        <v>8.6219999999999999</v>
      </c>
      <c r="N6" s="47">
        <v>1.2999999999999999E-2</v>
      </c>
      <c r="O6" s="47">
        <v>-0.40300000000000002</v>
      </c>
      <c r="P6" s="47">
        <v>1.2E-2</v>
      </c>
      <c r="Q6" s="47">
        <v>28.474</v>
      </c>
      <c r="R6" s="47">
        <v>7.8E-2</v>
      </c>
      <c r="S6" s="47">
        <v>-0.53</v>
      </c>
      <c r="T6" s="47">
        <v>7.8E-2</v>
      </c>
      <c r="U6" s="47">
        <v>-18.213000000000001</v>
      </c>
      <c r="V6" s="47">
        <v>2.3690000000000002</v>
      </c>
      <c r="W6" s="47">
        <v>-40.404000000000003</v>
      </c>
      <c r="X6" s="47">
        <v>2.3130000000000002</v>
      </c>
      <c r="Y6" s="47">
        <v>-9.5830417249999997E-3</v>
      </c>
      <c r="Z6" s="47" t="s">
        <v>347</v>
      </c>
      <c r="AA6" s="47">
        <v>-0.32</v>
      </c>
      <c r="AB6" s="47">
        <v>1.063951093</v>
      </c>
      <c r="AC6" s="47">
        <v>0.95442755879999996</v>
      </c>
      <c r="AD6" s="47">
        <v>0.61399999999999999</v>
      </c>
      <c r="AE6" s="47">
        <v>0</v>
      </c>
      <c r="AF6" s="47">
        <v>-2.9929825529999999E-2</v>
      </c>
      <c r="AG6" s="47" t="s">
        <v>348</v>
      </c>
      <c r="AH6" s="47">
        <v>0.32300000000000001</v>
      </c>
      <c r="AI6" s="47">
        <v>1.5797905189999999</v>
      </c>
      <c r="AJ6" s="47">
        <v>0.24947612899999999</v>
      </c>
      <c r="AK6" s="47">
        <v>0.75900000000000001</v>
      </c>
      <c r="AL6" s="47">
        <v>0</v>
      </c>
      <c r="AM6" s="47">
        <v>-9.3699999999999992</v>
      </c>
      <c r="AN6" s="47"/>
      <c r="AO6" s="47"/>
      <c r="AP6" s="47">
        <v>0.17</v>
      </c>
      <c r="AQ6" s="47"/>
      <c r="AR6" s="47"/>
      <c r="AS6" s="47">
        <v>31.1</v>
      </c>
      <c r="AT6" s="47"/>
      <c r="AU6" s="47"/>
      <c r="AV6" s="47">
        <v>0.61399999999999999</v>
      </c>
      <c r="AW6" s="47"/>
      <c r="AX6" s="47"/>
      <c r="AY6" s="47"/>
      <c r="AZ6" s="47"/>
      <c r="BA6" s="47">
        <v>0.75900000000000001</v>
      </c>
      <c r="BB6" s="47"/>
      <c r="BC6" s="47"/>
      <c r="BD6" s="47"/>
      <c r="BE6" s="47"/>
      <c r="BF6" s="47">
        <v>18.397594739999999</v>
      </c>
      <c r="BG6" s="47"/>
      <c r="BH6" s="47"/>
      <c r="BI6" s="47">
        <v>1.0306481679999999</v>
      </c>
      <c r="BJ6" s="47"/>
      <c r="BK6" s="47">
        <v>0.43839556210000002</v>
      </c>
      <c r="BL6" s="47"/>
      <c r="BM6" s="47"/>
    </row>
    <row r="7" spans="1:65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</row>
    <row r="8" spans="1:65" s="52" customFormat="1" x14ac:dyDescent="0.2">
      <c r="A8" s="50" t="s">
        <v>349</v>
      </c>
      <c r="B8" s="49"/>
      <c r="C8" s="49"/>
      <c r="D8" s="49"/>
      <c r="E8" s="49"/>
      <c r="F8" s="49"/>
      <c r="G8" s="49"/>
      <c r="H8" s="50">
        <v>6.9925555649999999E-2</v>
      </c>
      <c r="I8" s="49"/>
      <c r="J8" s="50">
        <v>0.2182649384</v>
      </c>
      <c r="K8" s="49"/>
      <c r="L8" s="50">
        <v>0.22425339089999999</v>
      </c>
      <c r="M8" s="49"/>
      <c r="N8" s="50">
        <v>0.26528298569999997</v>
      </c>
      <c r="O8" s="49"/>
      <c r="P8" s="50">
        <v>1.6987127479999999E-2</v>
      </c>
      <c r="Q8" s="49"/>
      <c r="R8" s="50">
        <v>0.41300088280000002</v>
      </c>
      <c r="S8" s="49"/>
      <c r="T8" s="50">
        <v>3.4422315920000002E-2</v>
      </c>
      <c r="U8" s="49"/>
      <c r="V8" s="50">
        <v>2.266807166</v>
      </c>
      <c r="W8" s="49"/>
      <c r="X8" s="50">
        <v>2.2657257620000002</v>
      </c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50">
        <v>-8.4375</v>
      </c>
      <c r="AO8" s="50">
        <v>0.18282505299999999</v>
      </c>
      <c r="AP8" s="49"/>
      <c r="AQ8" s="50">
        <f>AVERAGE(AP9:AP12)</f>
        <v>-0.5625</v>
      </c>
      <c r="AR8" s="50">
        <v>0.3904164443</v>
      </c>
      <c r="AS8" s="49"/>
      <c r="AT8" s="50">
        <v>30.34</v>
      </c>
      <c r="AU8" s="50">
        <v>0.39941624069999998</v>
      </c>
      <c r="AV8" s="49"/>
      <c r="AW8" s="50">
        <v>0.58225000000000005</v>
      </c>
      <c r="AX8" s="50">
        <v>1.0086087779999999E-2</v>
      </c>
      <c r="AY8" s="51">
        <v>2.0172175559999998E-2</v>
      </c>
      <c r="AZ8" s="51">
        <v>3.9335742329999999E-2</v>
      </c>
      <c r="BA8" s="49"/>
      <c r="BB8" s="50">
        <v>0.19725000000000001</v>
      </c>
      <c r="BC8" s="50">
        <v>2.7590381779999999E-2</v>
      </c>
      <c r="BD8" s="49"/>
      <c r="BE8" s="49"/>
      <c r="BF8" s="49"/>
      <c r="BG8" s="50">
        <v>29.208407650000002</v>
      </c>
      <c r="BH8" s="50">
        <v>3.6929136910000002</v>
      </c>
      <c r="BI8" s="49"/>
      <c r="BJ8" s="50">
        <v>1.02841801</v>
      </c>
      <c r="BK8" s="49"/>
      <c r="BL8" s="50">
        <f>AVERAGE(BK9:BK12)</f>
        <v>1.870453242825</v>
      </c>
      <c r="BM8" s="50">
        <f>STDEV(BK9:BK12)</f>
        <v>1.536001205845221</v>
      </c>
    </row>
    <row r="9" spans="1:65" x14ac:dyDescent="0.2">
      <c r="A9" s="47" t="s">
        <v>67</v>
      </c>
      <c r="B9" s="53">
        <v>43315.087500000001</v>
      </c>
      <c r="C9" s="47" t="s">
        <v>69</v>
      </c>
      <c r="D9" s="47" t="s">
        <v>349</v>
      </c>
      <c r="E9" s="47" t="s">
        <v>70</v>
      </c>
      <c r="F9" s="53">
        <v>43313.37222222222</v>
      </c>
      <c r="G9" s="47">
        <v>-8.44</v>
      </c>
      <c r="H9" s="47">
        <v>0</v>
      </c>
      <c r="I9" s="47">
        <v>7.95</v>
      </c>
      <c r="J9" s="47">
        <v>0</v>
      </c>
      <c r="K9" s="47">
        <v>39.11</v>
      </c>
      <c r="L9" s="47">
        <v>0</v>
      </c>
      <c r="M9" s="47">
        <v>8.9269999999999996</v>
      </c>
      <c r="N9" s="47">
        <v>1.2999999999999999E-2</v>
      </c>
      <c r="O9" s="47">
        <v>-0.40899999999999997</v>
      </c>
      <c r="P9" s="47">
        <v>1.2E-2</v>
      </c>
      <c r="Q9" s="47">
        <v>26.984999999999999</v>
      </c>
      <c r="R9" s="47">
        <v>4.1000000000000002E-2</v>
      </c>
      <c r="S9" s="47">
        <v>-0.71099999999999997</v>
      </c>
      <c r="T9" s="47">
        <v>3.9E-2</v>
      </c>
      <c r="U9" s="47">
        <v>-18.297999999999998</v>
      </c>
      <c r="V9" s="47">
        <v>3.181</v>
      </c>
      <c r="W9" s="47">
        <v>-40.216000000000001</v>
      </c>
      <c r="X9" s="47">
        <v>3.11</v>
      </c>
      <c r="Y9" s="47">
        <v>-9.9238529080000002E-3</v>
      </c>
      <c r="Z9" s="47" t="s">
        <v>350</v>
      </c>
      <c r="AA9" s="47">
        <v>-0.32</v>
      </c>
      <c r="AB9" s="47">
        <v>0.97286065489999995</v>
      </c>
      <c r="AC9" s="47">
        <v>0.90426000049999999</v>
      </c>
      <c r="AD9" s="47">
        <v>0.59199999999999997</v>
      </c>
      <c r="AE9" s="47">
        <v>0</v>
      </c>
      <c r="AF9" s="47">
        <v>-1.9226983350000001E-2</v>
      </c>
      <c r="AG9" s="47" t="s">
        <v>351</v>
      </c>
      <c r="AH9" s="47">
        <v>-0.192</v>
      </c>
      <c r="AI9" s="47">
        <v>0.72767864859999998</v>
      </c>
      <c r="AJ9" s="47">
        <v>0.2909806016</v>
      </c>
      <c r="AK9" s="47">
        <v>0.151</v>
      </c>
      <c r="AL9" s="47">
        <v>0</v>
      </c>
      <c r="AM9" s="47">
        <v>-8.32</v>
      </c>
      <c r="AN9" s="47"/>
      <c r="AO9" s="47"/>
      <c r="AP9" s="47">
        <v>-0.31</v>
      </c>
      <c r="AQ9" s="47"/>
      <c r="AR9" s="47"/>
      <c r="AS9" s="47">
        <v>30.6</v>
      </c>
      <c r="AT9" s="47"/>
      <c r="AU9" s="47"/>
      <c r="AV9" s="47">
        <v>0.59199999999999997</v>
      </c>
      <c r="AW9" s="47"/>
      <c r="AX9" s="47"/>
      <c r="AY9" s="47"/>
      <c r="AZ9" s="47"/>
      <c r="BA9" s="47">
        <v>0.151</v>
      </c>
      <c r="BB9" s="47"/>
      <c r="BC9" s="47"/>
      <c r="BD9" s="47"/>
      <c r="BE9" s="47"/>
      <c r="BF9" s="47">
        <v>25.629862760000002</v>
      </c>
      <c r="BG9" s="47"/>
      <c r="BH9" s="47"/>
      <c r="BI9" s="47">
        <v>1.0291193030000001</v>
      </c>
      <c r="BJ9" s="47"/>
      <c r="BK9" s="47">
        <v>1.4388004969999999</v>
      </c>
      <c r="BL9" s="47"/>
      <c r="BM9" s="47"/>
    </row>
    <row r="10" spans="1:65" x14ac:dyDescent="0.2">
      <c r="A10" s="47" t="s">
        <v>81</v>
      </c>
      <c r="B10" s="53">
        <v>43321.768750000003</v>
      </c>
      <c r="C10" s="47" t="s">
        <v>69</v>
      </c>
      <c r="D10" s="47" t="s">
        <v>349</v>
      </c>
      <c r="E10" s="47" t="s">
        <v>70</v>
      </c>
      <c r="F10" s="53">
        <v>43313.37222222222</v>
      </c>
      <c r="G10" s="47">
        <v>-8.4700000000000006</v>
      </c>
      <c r="H10" s="47">
        <v>0</v>
      </c>
      <c r="I10" s="47">
        <v>7.92</v>
      </c>
      <c r="J10" s="47">
        <v>0</v>
      </c>
      <c r="K10" s="47">
        <v>39.090000000000003</v>
      </c>
      <c r="L10" s="47">
        <v>0</v>
      </c>
      <c r="M10" s="47">
        <v>8.8689999999999998</v>
      </c>
      <c r="N10" s="47">
        <v>1.4E-2</v>
      </c>
      <c r="O10" s="47">
        <v>-0.40899999999999997</v>
      </c>
      <c r="P10" s="47">
        <v>1.4E-2</v>
      </c>
      <c r="Q10" s="47">
        <v>27.015999999999998</v>
      </c>
      <c r="R10" s="47">
        <v>4.8000000000000001E-2</v>
      </c>
      <c r="S10" s="47">
        <v>-0.63100000000000001</v>
      </c>
      <c r="T10" s="47">
        <v>4.4999999999999998E-2</v>
      </c>
      <c r="U10" s="47">
        <v>-22.030999999999999</v>
      </c>
      <c r="V10" s="47">
        <v>2.4169999999999998</v>
      </c>
      <c r="W10" s="47">
        <v>-43.784999999999997</v>
      </c>
      <c r="X10" s="47">
        <v>2.3650000000000002</v>
      </c>
      <c r="Y10" s="47">
        <v>-9.9238529080000002E-3</v>
      </c>
      <c r="Z10" s="47" t="s">
        <v>350</v>
      </c>
      <c r="AA10" s="47">
        <v>-0.32100000000000001</v>
      </c>
      <c r="AB10" s="47">
        <v>0.97286065489999995</v>
      </c>
      <c r="AC10" s="47">
        <v>0.90426000049999999</v>
      </c>
      <c r="AD10" s="47">
        <v>0.59199999999999997</v>
      </c>
      <c r="AE10" s="47">
        <v>0</v>
      </c>
      <c r="AF10" s="47">
        <v>-1.9226983350000001E-2</v>
      </c>
      <c r="AG10" s="47" t="s">
        <v>352</v>
      </c>
      <c r="AH10" s="47">
        <v>-0.111</v>
      </c>
      <c r="AI10" s="47">
        <v>0.72767864859999998</v>
      </c>
      <c r="AJ10" s="47">
        <v>0.2909806016</v>
      </c>
      <c r="AK10" s="47">
        <v>0.21</v>
      </c>
      <c r="AL10" s="47">
        <v>0</v>
      </c>
      <c r="AM10" s="47">
        <v>-8.35</v>
      </c>
      <c r="AN10" s="47"/>
      <c r="AO10" s="47"/>
      <c r="AP10" s="47">
        <v>-0.34</v>
      </c>
      <c r="AQ10" s="47"/>
      <c r="AR10" s="47"/>
      <c r="AS10" s="47">
        <v>30.57</v>
      </c>
      <c r="AT10" s="47"/>
      <c r="AU10" s="47"/>
      <c r="AV10" s="47">
        <v>0.59199999999999997</v>
      </c>
      <c r="AW10" s="47"/>
      <c r="AX10" s="47"/>
      <c r="AY10" s="47"/>
      <c r="AZ10" s="47"/>
      <c r="BA10" s="47">
        <v>0.21</v>
      </c>
      <c r="BB10" s="47"/>
      <c r="BC10" s="47"/>
      <c r="BD10" s="47"/>
      <c r="BE10" s="47"/>
      <c r="BF10" s="47">
        <v>25.629862760000002</v>
      </c>
      <c r="BG10" s="47"/>
      <c r="BH10" s="47"/>
      <c r="BI10" s="47">
        <v>1.0291193030000001</v>
      </c>
      <c r="BJ10" s="47"/>
      <c r="BK10" s="47">
        <v>1.4096493569999999</v>
      </c>
      <c r="BL10" s="47"/>
      <c r="BM10" s="47"/>
    </row>
    <row r="11" spans="1:65" x14ac:dyDescent="0.2">
      <c r="A11" s="47" t="s">
        <v>89</v>
      </c>
      <c r="B11" s="53">
        <v>43328.146527777775</v>
      </c>
      <c r="C11" s="47" t="s">
        <v>69</v>
      </c>
      <c r="D11" s="47" t="s">
        <v>349</v>
      </c>
      <c r="E11" s="47" t="s">
        <v>70</v>
      </c>
      <c r="F11" s="53">
        <v>43326.330555555556</v>
      </c>
      <c r="G11" s="47">
        <v>-8.75</v>
      </c>
      <c r="H11" s="47">
        <v>0</v>
      </c>
      <c r="I11" s="47">
        <v>7.28</v>
      </c>
      <c r="J11" s="47">
        <v>0</v>
      </c>
      <c r="K11" s="47">
        <v>38.43</v>
      </c>
      <c r="L11" s="47">
        <v>0</v>
      </c>
      <c r="M11" s="47">
        <v>7.9580000000000002</v>
      </c>
      <c r="N11" s="47">
        <v>2.1000000000000001E-2</v>
      </c>
      <c r="O11" s="47">
        <v>-0.39700000000000002</v>
      </c>
      <c r="P11" s="47">
        <v>2.1000000000000001E-2</v>
      </c>
      <c r="Q11" s="47">
        <v>25.748000000000001</v>
      </c>
      <c r="R11" s="47">
        <v>4.3999999999999997E-2</v>
      </c>
      <c r="S11" s="47">
        <v>-0.60099999999999998</v>
      </c>
      <c r="T11" s="47">
        <v>4.3999999999999997E-2</v>
      </c>
      <c r="U11" s="47">
        <v>-14.318</v>
      </c>
      <c r="V11" s="47">
        <v>2.2229999999999999</v>
      </c>
      <c r="W11" s="47">
        <v>-34.753999999999998</v>
      </c>
      <c r="X11" s="47">
        <v>2.177</v>
      </c>
      <c r="Y11" s="47">
        <v>-9.818082669E-3</v>
      </c>
      <c r="Z11" s="47" t="s">
        <v>353</v>
      </c>
      <c r="AA11" s="47">
        <v>-0.31900000000000001</v>
      </c>
      <c r="AB11" s="47">
        <v>1.079318851</v>
      </c>
      <c r="AC11" s="47">
        <v>0.93750287389999998</v>
      </c>
      <c r="AD11" s="47">
        <v>0.59299999999999997</v>
      </c>
      <c r="AE11" s="47">
        <v>0</v>
      </c>
      <c r="AF11" s="47">
        <v>-1.9032470060000001E-2</v>
      </c>
      <c r="AG11" s="47" t="s">
        <v>354</v>
      </c>
      <c r="AH11" s="47">
        <v>-0.111</v>
      </c>
      <c r="AI11" s="47">
        <v>1.512578867</v>
      </c>
      <c r="AJ11" s="47">
        <v>0.3253919971</v>
      </c>
      <c r="AK11" s="47">
        <v>0.158</v>
      </c>
      <c r="AL11" s="47">
        <v>0</v>
      </c>
      <c r="AM11" s="47">
        <v>-8.7100000000000009</v>
      </c>
      <c r="AN11" s="47"/>
      <c r="AO11" s="47"/>
      <c r="AP11" s="47">
        <v>-1.1399999999999999</v>
      </c>
      <c r="AQ11" s="47"/>
      <c r="AR11" s="47"/>
      <c r="AS11" s="47">
        <v>29.75</v>
      </c>
      <c r="AT11" s="47"/>
      <c r="AU11" s="47"/>
      <c r="AV11" s="47">
        <v>0.59299999999999997</v>
      </c>
      <c r="AW11" s="47"/>
      <c r="AX11" s="47"/>
      <c r="AY11" s="47"/>
      <c r="AZ11" s="47"/>
      <c r="BA11" s="47">
        <v>0.158</v>
      </c>
      <c r="BB11" s="47"/>
      <c r="BC11" s="47"/>
      <c r="BD11" s="47"/>
      <c r="BE11" s="47"/>
      <c r="BF11" s="47">
        <v>25.289372780000001</v>
      </c>
      <c r="BG11" s="47"/>
      <c r="BH11" s="47"/>
      <c r="BI11" s="47">
        <v>1.0291895689999999</v>
      </c>
      <c r="BJ11" s="47"/>
      <c r="BK11" s="47">
        <v>0.5445366183</v>
      </c>
      <c r="BL11" s="47"/>
      <c r="BM11" s="47"/>
    </row>
    <row r="12" spans="1:65" x14ac:dyDescent="0.2">
      <c r="A12" s="47" t="s">
        <v>355</v>
      </c>
      <c r="B12" s="53">
        <v>43397.928472222222</v>
      </c>
      <c r="C12" s="47" t="s">
        <v>69</v>
      </c>
      <c r="D12" s="47" t="s">
        <v>349</v>
      </c>
      <c r="E12" s="47" t="s">
        <v>70</v>
      </c>
      <c r="F12" s="53">
        <v>43387.808333333334</v>
      </c>
      <c r="G12" s="47">
        <v>-8.57</v>
      </c>
      <c r="H12" s="47">
        <v>0</v>
      </c>
      <c r="I12" s="47">
        <v>7.1</v>
      </c>
      <c r="J12" s="47">
        <v>0</v>
      </c>
      <c r="K12" s="47">
        <v>38.24</v>
      </c>
      <c r="L12" s="47">
        <v>0</v>
      </c>
      <c r="M12" s="47">
        <v>8.0030000000000001</v>
      </c>
      <c r="N12" s="47">
        <v>1.0999999999999999E-2</v>
      </c>
      <c r="O12" s="47">
        <v>-0.33800000000000002</v>
      </c>
      <c r="P12" s="47">
        <v>1.0999999999999999E-2</v>
      </c>
      <c r="Q12" s="47">
        <v>25.428000000000001</v>
      </c>
      <c r="R12" s="47">
        <v>5.8999999999999997E-2</v>
      </c>
      <c r="S12" s="47">
        <v>-0.54600000000000004</v>
      </c>
      <c r="T12" s="47">
        <v>5.7000000000000002E-2</v>
      </c>
      <c r="U12" s="47">
        <v>-24.738</v>
      </c>
      <c r="V12" s="47">
        <v>3.2719999999999998</v>
      </c>
      <c r="W12" s="47">
        <v>-44.777999999999999</v>
      </c>
      <c r="X12" s="47">
        <v>3.2050000000000001</v>
      </c>
      <c r="Y12" s="47">
        <v>-8.7261038079999992E-3</v>
      </c>
      <c r="Z12" s="47" t="s">
        <v>356</v>
      </c>
      <c r="AA12" s="47">
        <v>-0.26800000000000002</v>
      </c>
      <c r="AB12" s="47">
        <v>1.1243344280000001</v>
      </c>
      <c r="AC12" s="47">
        <v>0.8533245908</v>
      </c>
      <c r="AD12" s="47">
        <v>0.55200000000000005</v>
      </c>
      <c r="AE12" s="47">
        <v>0</v>
      </c>
      <c r="AF12" s="47">
        <v>-2.1055576199999999E-2</v>
      </c>
      <c r="AG12" s="47" t="s">
        <v>357</v>
      </c>
      <c r="AH12" s="47">
        <v>-0.01</v>
      </c>
      <c r="AI12" s="47">
        <v>0.78606619580000003</v>
      </c>
      <c r="AJ12" s="47">
        <v>0.27819339920000002</v>
      </c>
      <c r="AK12" s="47">
        <v>0.27</v>
      </c>
      <c r="AL12" s="47">
        <v>0</v>
      </c>
      <c r="AM12" s="47">
        <v>-8.3699999999999992</v>
      </c>
      <c r="AN12" s="47"/>
      <c r="AO12" s="47"/>
      <c r="AP12" s="47">
        <v>-0.46</v>
      </c>
      <c r="AQ12" s="47"/>
      <c r="AR12" s="47"/>
      <c r="AS12" s="47">
        <v>30.44</v>
      </c>
      <c r="AT12" s="47"/>
      <c r="AU12" s="47"/>
      <c r="AV12" s="47">
        <v>0.55200000000000005</v>
      </c>
      <c r="AW12" s="47"/>
      <c r="AX12" s="47"/>
      <c r="AY12" s="47"/>
      <c r="AZ12" s="47"/>
      <c r="BA12" s="47">
        <v>0.27</v>
      </c>
      <c r="BB12" s="47"/>
      <c r="BC12" s="47"/>
      <c r="BD12" s="47"/>
      <c r="BE12" s="47"/>
      <c r="BF12" s="47">
        <v>40.284532290000001</v>
      </c>
      <c r="BG12" s="47"/>
      <c r="BH12" s="47"/>
      <c r="BI12" s="47">
        <v>1.026243867</v>
      </c>
      <c r="BJ12" s="47"/>
      <c r="BK12" s="47">
        <v>4.0888264989999996</v>
      </c>
      <c r="BL12" s="47"/>
      <c r="BM12" s="47"/>
    </row>
    <row r="13" spans="1:65" x14ac:dyDescent="0.2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</row>
    <row r="14" spans="1:65" s="52" customFormat="1" x14ac:dyDescent="0.2">
      <c r="A14" s="50" t="s">
        <v>358</v>
      </c>
      <c r="B14" s="49"/>
      <c r="C14" s="49"/>
      <c r="D14" s="49"/>
      <c r="E14" s="49"/>
      <c r="F14" s="49"/>
      <c r="G14" s="49"/>
      <c r="H14" s="50">
        <v>3.9024564909999997E-2</v>
      </c>
      <c r="I14" s="49"/>
      <c r="J14" s="50">
        <v>0.20512191499999999</v>
      </c>
      <c r="K14" s="49"/>
      <c r="L14" s="50">
        <v>0.21199449679999999</v>
      </c>
      <c r="M14" s="49"/>
      <c r="N14" s="50">
        <v>0.21758843990000001</v>
      </c>
      <c r="O14" s="49"/>
      <c r="P14" s="50">
        <v>2.6605137349999999E-2</v>
      </c>
      <c r="Q14" s="49"/>
      <c r="R14" s="50">
        <v>0.32432108580000002</v>
      </c>
      <c r="S14" s="49"/>
      <c r="T14" s="50">
        <v>0.14430840819999999</v>
      </c>
      <c r="U14" s="49"/>
      <c r="V14" s="50">
        <v>9.3699587009999998</v>
      </c>
      <c r="W14" s="49"/>
      <c r="X14" s="50">
        <v>9.0702779850000006</v>
      </c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50">
        <v>-8.2850000000000001</v>
      </c>
      <c r="AO14" s="50">
        <v>7.0710678119999997E-3</v>
      </c>
      <c r="AP14" s="49"/>
      <c r="AQ14" s="50">
        <f>AVERAGE(AP15:AP16,AP17)</f>
        <v>-0.53666666666666674</v>
      </c>
      <c r="AR14" s="50">
        <v>1.4142135619999999E-2</v>
      </c>
      <c r="AS14" s="49"/>
      <c r="AT14" s="50">
        <v>30.6</v>
      </c>
      <c r="AU14" s="50">
        <v>1.4142135619999999E-2</v>
      </c>
      <c r="AV14" s="49"/>
      <c r="AW14" s="50">
        <f>AVERAGE(AV15:AV16,AV17)</f>
        <v>0.61166666666666669</v>
      </c>
      <c r="AX14" s="50">
        <v>3.8441875319999998E-3</v>
      </c>
      <c r="AY14" s="51">
        <v>6.6583281180000002E-3</v>
      </c>
      <c r="AZ14" s="51">
        <v>1.298373983E-2</v>
      </c>
      <c r="BA14" s="49"/>
      <c r="BB14" s="50">
        <v>0.25466666669999999</v>
      </c>
      <c r="BC14" s="50">
        <v>2.7551971089999999E-2</v>
      </c>
      <c r="BD14" s="49"/>
      <c r="BE14" s="49"/>
      <c r="BF14" s="49"/>
      <c r="BG14" s="50">
        <v>19.1552547</v>
      </c>
      <c r="BH14" s="50">
        <v>1.223012102</v>
      </c>
      <c r="BI14" s="49"/>
      <c r="BJ14" s="50">
        <v>1.031849419</v>
      </c>
      <c r="BK14" s="49"/>
      <c r="BL14" s="50">
        <f>AVERAGE(BK15:BK16,BK17)</f>
        <v>-0.11630190970000003</v>
      </c>
      <c r="BM14" s="50">
        <f>STDEV(BK15:BK16,BK17)</f>
        <v>0.53377205457117904</v>
      </c>
    </row>
    <row r="15" spans="1:65" x14ac:dyDescent="0.2">
      <c r="A15" s="47" t="s">
        <v>67</v>
      </c>
      <c r="B15" s="53">
        <v>43321.857638888891</v>
      </c>
      <c r="C15" s="47" t="s">
        <v>69</v>
      </c>
      <c r="D15" s="47" t="s">
        <v>358</v>
      </c>
      <c r="E15" s="47" t="s">
        <v>70</v>
      </c>
      <c r="F15" s="53">
        <v>43313.37222222222</v>
      </c>
      <c r="G15" s="47">
        <v>-8.4</v>
      </c>
      <c r="H15" s="47">
        <v>0</v>
      </c>
      <c r="I15" s="47">
        <v>7.94</v>
      </c>
      <c r="J15" s="47">
        <v>0</v>
      </c>
      <c r="K15" s="47">
        <v>39.1</v>
      </c>
      <c r="L15" s="47">
        <v>0</v>
      </c>
      <c r="M15" s="47">
        <v>8.9830000000000005</v>
      </c>
      <c r="N15" s="47">
        <v>2.1999999999999999E-2</v>
      </c>
      <c r="O15" s="47">
        <v>-0.38200000000000001</v>
      </c>
      <c r="P15" s="47">
        <v>0.02</v>
      </c>
      <c r="Q15" s="47">
        <v>27.036999999999999</v>
      </c>
      <c r="R15" s="47">
        <v>6.6000000000000003E-2</v>
      </c>
      <c r="S15" s="47">
        <v>-0.64500000000000002</v>
      </c>
      <c r="T15" s="47">
        <v>6.4000000000000001E-2</v>
      </c>
      <c r="U15" s="47">
        <v>-22.17</v>
      </c>
      <c r="V15" s="47">
        <v>2.5070000000000001</v>
      </c>
      <c r="W15" s="47">
        <v>-44.023000000000003</v>
      </c>
      <c r="X15" s="47">
        <v>2.4529999999999998</v>
      </c>
      <c r="Y15" s="47">
        <v>-9.9238529080000002E-3</v>
      </c>
      <c r="Z15" s="47" t="s">
        <v>359</v>
      </c>
      <c r="AA15" s="47">
        <v>-0.29299999999999998</v>
      </c>
      <c r="AB15" s="47">
        <v>0.97286065489999995</v>
      </c>
      <c r="AC15" s="47">
        <v>0.90426000049999999</v>
      </c>
      <c r="AD15" s="47">
        <v>0.61899999999999999</v>
      </c>
      <c r="AE15" s="47">
        <v>0</v>
      </c>
      <c r="AF15" s="47">
        <v>-1.9226983350000001E-2</v>
      </c>
      <c r="AG15" s="47" t="s">
        <v>360</v>
      </c>
      <c r="AH15" s="47">
        <v>-0.125</v>
      </c>
      <c r="AI15" s="47">
        <v>0.72767864859999998</v>
      </c>
      <c r="AJ15" s="47">
        <v>0.2909806016</v>
      </c>
      <c r="AK15" s="47">
        <v>0.2</v>
      </c>
      <c r="AL15" s="47">
        <v>0</v>
      </c>
      <c r="AM15" s="47">
        <v>-8.2799999999999994</v>
      </c>
      <c r="AN15" s="47"/>
      <c r="AO15" s="47"/>
      <c r="AP15" s="47">
        <v>-0.32</v>
      </c>
      <c r="AQ15" s="47"/>
      <c r="AR15" s="47"/>
      <c r="AS15" s="47">
        <v>30.59</v>
      </c>
      <c r="AT15" s="47"/>
      <c r="AU15" s="47"/>
      <c r="AV15" s="47">
        <v>0.61899999999999999</v>
      </c>
      <c r="AW15" s="47"/>
      <c r="AX15" s="47"/>
      <c r="AY15" s="47"/>
      <c r="AZ15" s="47"/>
      <c r="BA15" s="47">
        <v>0.2</v>
      </c>
      <c r="BB15" s="47"/>
      <c r="BC15" s="47"/>
      <c r="BD15" s="47"/>
      <c r="BE15" s="47"/>
      <c r="BF15" s="47">
        <v>16.82589815</v>
      </c>
      <c r="BG15" s="47"/>
      <c r="BH15" s="47"/>
      <c r="BI15" s="47">
        <v>1.0309908160000001</v>
      </c>
      <c r="BJ15" s="47"/>
      <c r="BK15" s="47">
        <v>-0.3887676223</v>
      </c>
      <c r="BL15" s="47"/>
      <c r="BM15" s="47"/>
    </row>
    <row r="16" spans="1:65" x14ac:dyDescent="0.2">
      <c r="A16" s="47" t="s">
        <v>81</v>
      </c>
      <c r="B16" s="53">
        <v>43328.257638888892</v>
      </c>
      <c r="C16" s="47" t="s">
        <v>69</v>
      </c>
      <c r="D16" s="47" t="s">
        <v>358</v>
      </c>
      <c r="E16" s="47" t="s">
        <v>70</v>
      </c>
      <c r="F16" s="53">
        <v>43326.330555555556</v>
      </c>
      <c r="G16" s="47">
        <v>-8.57</v>
      </c>
      <c r="H16" s="47">
        <v>0</v>
      </c>
      <c r="I16" s="47">
        <v>7.43</v>
      </c>
      <c r="J16" s="47">
        <v>0.01</v>
      </c>
      <c r="K16" s="47">
        <v>38.58</v>
      </c>
      <c r="L16" s="47">
        <v>0.01</v>
      </c>
      <c r="M16" s="47">
        <v>8.2880000000000003</v>
      </c>
      <c r="N16" s="47">
        <v>1.4999999999999999E-2</v>
      </c>
      <c r="O16" s="47">
        <v>-0.38400000000000001</v>
      </c>
      <c r="P16" s="47">
        <v>1.4E-2</v>
      </c>
      <c r="Q16" s="47">
        <v>26.114999999999998</v>
      </c>
      <c r="R16" s="47">
        <v>0.06</v>
      </c>
      <c r="S16" s="47">
        <v>-0.52900000000000003</v>
      </c>
      <c r="T16" s="47">
        <v>6.0999999999999999E-2</v>
      </c>
      <c r="U16" s="47">
        <v>-11.558999999999999</v>
      </c>
      <c r="V16" s="47">
        <v>4.2229999999999999</v>
      </c>
      <c r="W16" s="47">
        <v>-32.497999999999998</v>
      </c>
      <c r="X16" s="47">
        <v>4.1260000000000003</v>
      </c>
      <c r="Y16" s="47">
        <v>-9.818082669E-3</v>
      </c>
      <c r="Z16" s="47" t="s">
        <v>361</v>
      </c>
      <c r="AA16" s="47">
        <v>-0.30299999999999999</v>
      </c>
      <c r="AB16" s="47">
        <v>1.079318851</v>
      </c>
      <c r="AC16" s="47">
        <v>0.93750287389999998</v>
      </c>
      <c r="AD16" s="47">
        <v>0.61</v>
      </c>
      <c r="AE16" s="47">
        <v>0</v>
      </c>
      <c r="AF16" s="47">
        <v>-1.9032470060000001E-2</v>
      </c>
      <c r="AG16" s="47" t="s">
        <v>362</v>
      </c>
      <c r="AH16" s="47">
        <v>-3.2000000000000001E-2</v>
      </c>
      <c r="AI16" s="47">
        <v>1.512578867</v>
      </c>
      <c r="AJ16" s="47">
        <v>0.3253919971</v>
      </c>
      <c r="AK16" s="47">
        <v>0.27600000000000002</v>
      </c>
      <c r="AL16" s="47">
        <v>0</v>
      </c>
      <c r="AM16" s="47">
        <v>-8.5399999999999991</v>
      </c>
      <c r="AN16" s="47"/>
      <c r="AO16" s="47"/>
      <c r="AP16" s="47">
        <v>-0.99</v>
      </c>
      <c r="AQ16" s="47"/>
      <c r="AR16" s="47"/>
      <c r="AS16" s="47">
        <v>29.9</v>
      </c>
      <c r="AT16" s="47"/>
      <c r="AU16" s="47"/>
      <c r="AV16" s="47">
        <v>0.61</v>
      </c>
      <c r="AW16" s="47"/>
      <c r="AX16" s="47"/>
      <c r="AY16" s="47"/>
      <c r="AZ16" s="47"/>
      <c r="BA16" s="47">
        <v>0.27600000000000002</v>
      </c>
      <c r="BB16" s="47"/>
      <c r="BC16" s="47"/>
      <c r="BD16" s="47"/>
      <c r="BE16" s="47"/>
      <c r="BF16" s="47">
        <v>19.673520289999999</v>
      </c>
      <c r="BG16" s="47"/>
      <c r="BH16" s="47"/>
      <c r="BI16" s="47">
        <v>1.0303727899999999</v>
      </c>
      <c r="BJ16" s="47"/>
      <c r="BK16" s="47">
        <v>-0.45885338149999999</v>
      </c>
      <c r="BL16" s="47"/>
      <c r="BM16" s="47"/>
    </row>
    <row r="17" spans="1:65" x14ac:dyDescent="0.2">
      <c r="A17" s="47" t="s">
        <v>355</v>
      </c>
      <c r="B17" s="53">
        <v>43544.854166666664</v>
      </c>
      <c r="C17" s="47" t="s">
        <v>69</v>
      </c>
      <c r="D17" s="47" t="s">
        <v>358</v>
      </c>
      <c r="E17" s="47" t="s">
        <v>70</v>
      </c>
      <c r="F17" s="53">
        <v>43540.749305555553</v>
      </c>
      <c r="G17" s="47">
        <v>-8.42</v>
      </c>
      <c r="H17" s="47">
        <v>0</v>
      </c>
      <c r="I17" s="47">
        <v>7.79</v>
      </c>
      <c r="J17" s="47">
        <v>0</v>
      </c>
      <c r="K17" s="47">
        <v>38.950000000000003</v>
      </c>
      <c r="L17" s="47">
        <v>0</v>
      </c>
      <c r="M17" s="47">
        <v>8.7929999999999993</v>
      </c>
      <c r="N17" s="47">
        <v>1.4E-2</v>
      </c>
      <c r="O17" s="47">
        <v>-0.39900000000000002</v>
      </c>
      <c r="P17" s="47">
        <v>1.2999999999999999E-2</v>
      </c>
      <c r="Q17" s="47">
        <v>26.335999999999999</v>
      </c>
      <c r="R17" s="47">
        <v>5.6000000000000001E-2</v>
      </c>
      <c r="S17" s="47">
        <v>-1.0309999999999999</v>
      </c>
      <c r="T17" s="47">
        <v>5.3999999999999999E-2</v>
      </c>
      <c r="U17" s="47">
        <v>20.135000000000002</v>
      </c>
      <c r="V17" s="47">
        <v>3.7269999999999999</v>
      </c>
      <c r="W17" s="47">
        <v>-2.3460000000000001</v>
      </c>
      <c r="X17" s="47">
        <v>3.6440000000000001</v>
      </c>
      <c r="Y17" s="47">
        <v>-9.5816022200000007E-3</v>
      </c>
      <c r="Z17" s="47" t="s">
        <v>363</v>
      </c>
      <c r="AA17" s="47">
        <v>-0.314</v>
      </c>
      <c r="AB17" s="47">
        <v>1.03974185</v>
      </c>
      <c r="AC17" s="47">
        <v>0.93291620939999997</v>
      </c>
      <c r="AD17" s="47">
        <v>0.60599999999999998</v>
      </c>
      <c r="AE17" s="47">
        <v>0</v>
      </c>
      <c r="AF17" s="47">
        <v>-3.495502415E-2</v>
      </c>
      <c r="AG17" s="47" t="s">
        <v>364</v>
      </c>
      <c r="AH17" s="47">
        <v>-0.11</v>
      </c>
      <c r="AI17" s="47">
        <v>0.71035451940000005</v>
      </c>
      <c r="AJ17" s="47">
        <v>0.365642209</v>
      </c>
      <c r="AK17" s="47">
        <v>0.28799999999999998</v>
      </c>
      <c r="AL17" s="47">
        <v>0</v>
      </c>
      <c r="AM17" s="47">
        <v>-8.2899999999999991</v>
      </c>
      <c r="AN17" s="47"/>
      <c r="AO17" s="47"/>
      <c r="AP17" s="47">
        <v>-0.3</v>
      </c>
      <c r="AQ17" s="47"/>
      <c r="AR17" s="47"/>
      <c r="AS17" s="47">
        <v>30.61</v>
      </c>
      <c r="AT17" s="47"/>
      <c r="AU17" s="47"/>
      <c r="AV17" s="47">
        <v>0.60599999999999998</v>
      </c>
      <c r="AW17" s="47"/>
      <c r="AX17" s="47"/>
      <c r="AY17" s="47"/>
      <c r="AZ17" s="47"/>
      <c r="BA17" s="47">
        <v>0.28799999999999998</v>
      </c>
      <c r="BB17" s="47"/>
      <c r="BC17" s="47"/>
      <c r="BD17" s="47"/>
      <c r="BE17" s="47"/>
      <c r="BF17" s="47">
        <v>20.966345650000001</v>
      </c>
      <c r="BG17" s="47"/>
      <c r="BH17" s="47"/>
      <c r="BI17" s="47">
        <v>1.030096275</v>
      </c>
      <c r="BJ17" s="47"/>
      <c r="BK17" s="47">
        <v>0.49871527469999999</v>
      </c>
      <c r="BL17" s="47"/>
      <c r="BM17" s="47"/>
    </row>
    <row r="18" spans="1:65" x14ac:dyDescent="0.2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</row>
    <row r="19" spans="1:65" s="52" customFormat="1" x14ac:dyDescent="0.2">
      <c r="A19" s="50" t="s">
        <v>365</v>
      </c>
      <c r="B19" s="49"/>
      <c r="C19" s="49"/>
      <c r="D19" s="49"/>
      <c r="E19" s="49"/>
      <c r="F19" s="49"/>
      <c r="G19" s="49"/>
      <c r="H19" s="50">
        <v>3.4247870979999998E-2</v>
      </c>
      <c r="I19" s="49"/>
      <c r="J19" s="50">
        <v>0.22651342860000001</v>
      </c>
      <c r="K19" s="49"/>
      <c r="L19" s="50">
        <v>0.23512408069999999</v>
      </c>
      <c r="M19" s="49"/>
      <c r="N19" s="50">
        <v>0.2278184127</v>
      </c>
      <c r="O19" s="49"/>
      <c r="P19" s="50">
        <v>2.7665788140000001E-2</v>
      </c>
      <c r="Q19" s="49"/>
      <c r="R19" s="50">
        <v>0.38554882419999997</v>
      </c>
      <c r="S19" s="49"/>
      <c r="T19" s="50">
        <v>0.1504018922</v>
      </c>
      <c r="U19" s="49"/>
      <c r="V19" s="50">
        <v>9.2855310959999997</v>
      </c>
      <c r="W19" s="49"/>
      <c r="X19" s="50">
        <v>8.9395603109999993</v>
      </c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50">
        <v>-7.86</v>
      </c>
      <c r="AO19" s="50">
        <v>6.5574385240000005E-2</v>
      </c>
      <c r="AP19" s="49"/>
      <c r="AQ19" s="50">
        <f>AVERAGE(AP20,AP21:AP22)</f>
        <v>-0.8666666666666667</v>
      </c>
      <c r="AR19" s="50">
        <v>0.12013880859999999</v>
      </c>
      <c r="AS19" s="49"/>
      <c r="AT19" s="50">
        <v>30.026666670000001</v>
      </c>
      <c r="AU19" s="50">
        <v>0.12503332889999999</v>
      </c>
      <c r="AV19" s="49"/>
      <c r="AW19" s="50">
        <v>0.58833333330000004</v>
      </c>
      <c r="AX19" s="50">
        <v>9.1712109949999999E-3</v>
      </c>
      <c r="AY19" s="51">
        <v>1.5885003410000001E-2</v>
      </c>
      <c r="AZ19" s="51">
        <v>3.0975756649999998E-2</v>
      </c>
      <c r="BA19" s="49"/>
      <c r="BB19" s="50">
        <v>0.2036666667</v>
      </c>
      <c r="BC19" s="50">
        <v>1.9470775820000001E-2</v>
      </c>
      <c r="BD19" s="49"/>
      <c r="BE19" s="49"/>
      <c r="BF19" s="49"/>
      <c r="BG19" s="50">
        <v>26.99056255</v>
      </c>
      <c r="BH19" s="50">
        <v>3.2204253519999999</v>
      </c>
      <c r="BI19" s="49"/>
      <c r="BJ19" s="50">
        <v>1.030287623</v>
      </c>
      <c r="BK19" s="49"/>
      <c r="BL19" s="50">
        <f>AVERAGE(BK20,BK21:BK22)</f>
        <v>1.1399995560666667</v>
      </c>
      <c r="BM19" s="50">
        <f>STDEV(BK20,BK21:BK22)</f>
        <v>0.99033920870544268</v>
      </c>
    </row>
    <row r="20" spans="1:65" x14ac:dyDescent="0.2">
      <c r="A20" s="47" t="s">
        <v>67</v>
      </c>
      <c r="B20" s="53">
        <v>43322.712500000001</v>
      </c>
      <c r="C20" s="47" t="s">
        <v>69</v>
      </c>
      <c r="D20" s="47" t="s">
        <v>365</v>
      </c>
      <c r="E20" s="47" t="s">
        <v>70</v>
      </c>
      <c r="F20" s="53">
        <v>43313.37222222222</v>
      </c>
      <c r="G20" s="47">
        <v>-7.92</v>
      </c>
      <c r="H20" s="47">
        <v>0</v>
      </c>
      <c r="I20" s="47">
        <v>7.39</v>
      </c>
      <c r="J20" s="47">
        <v>0</v>
      </c>
      <c r="K20" s="47">
        <v>38.54</v>
      </c>
      <c r="L20" s="47">
        <v>0</v>
      </c>
      <c r="M20" s="47">
        <v>8.8789999999999996</v>
      </c>
      <c r="N20" s="47">
        <v>1.9E-2</v>
      </c>
      <c r="O20" s="47">
        <v>-0.40400000000000003</v>
      </c>
      <c r="P20" s="47">
        <v>0.02</v>
      </c>
      <c r="Q20" s="47">
        <v>25.981000000000002</v>
      </c>
      <c r="R20" s="47">
        <v>9.5000000000000001E-2</v>
      </c>
      <c r="S20" s="47">
        <v>-0.59799999999999998</v>
      </c>
      <c r="T20" s="47">
        <v>9.1999999999999998E-2</v>
      </c>
      <c r="U20" s="47">
        <v>-23.082000000000001</v>
      </c>
      <c r="V20" s="47">
        <v>3.1640000000000001</v>
      </c>
      <c r="W20" s="47">
        <v>-44.347999999999999</v>
      </c>
      <c r="X20" s="47">
        <v>3.093</v>
      </c>
      <c r="Y20" s="47">
        <v>-9.9238529080000002E-3</v>
      </c>
      <c r="Z20" s="47" t="s">
        <v>366</v>
      </c>
      <c r="AA20" s="47">
        <v>-0.316</v>
      </c>
      <c r="AB20" s="47">
        <v>0.97286065489999995</v>
      </c>
      <c r="AC20" s="47">
        <v>0.90426000049999999</v>
      </c>
      <c r="AD20" s="47">
        <v>0.59699999999999998</v>
      </c>
      <c r="AE20" s="47">
        <v>0</v>
      </c>
      <c r="AF20" s="47">
        <v>-1.9226983350000001E-2</v>
      </c>
      <c r="AG20" s="47" t="s">
        <v>367</v>
      </c>
      <c r="AH20" s="47">
        <v>-9.9000000000000005E-2</v>
      </c>
      <c r="AI20" s="47">
        <v>0.72767864859999998</v>
      </c>
      <c r="AJ20" s="47">
        <v>0.2909806016</v>
      </c>
      <c r="AK20" s="47">
        <v>0.219</v>
      </c>
      <c r="AL20" s="47">
        <v>0</v>
      </c>
      <c r="AM20" s="47">
        <v>-7.8</v>
      </c>
      <c r="AN20" s="47"/>
      <c r="AO20" s="47"/>
      <c r="AP20" s="47">
        <v>-0.86</v>
      </c>
      <c r="AQ20" s="47"/>
      <c r="AR20" s="47"/>
      <c r="AS20" s="47">
        <v>30.03</v>
      </c>
      <c r="AT20" s="47"/>
      <c r="AU20" s="47"/>
      <c r="AV20" s="47">
        <v>0.59699999999999998</v>
      </c>
      <c r="AW20" s="47"/>
      <c r="AX20" s="47"/>
      <c r="AY20" s="47"/>
      <c r="AZ20" s="47"/>
      <c r="BA20" s="47">
        <v>0.219</v>
      </c>
      <c r="BB20" s="47"/>
      <c r="BC20" s="47"/>
      <c r="BD20" s="47"/>
      <c r="BE20" s="47"/>
      <c r="BF20" s="47">
        <v>23.938961450000001</v>
      </c>
      <c r="BG20" s="47"/>
      <c r="BH20" s="47"/>
      <c r="BI20" s="47">
        <v>1.029469883</v>
      </c>
      <c r="BJ20" s="47"/>
      <c r="BK20" s="47">
        <v>0.54408291070000003</v>
      </c>
      <c r="BL20" s="47"/>
      <c r="BM20" s="47"/>
    </row>
    <row r="21" spans="1:65" x14ac:dyDescent="0.2">
      <c r="A21" s="47" t="s">
        <v>89</v>
      </c>
      <c r="B21" s="53">
        <v>43396.84097222222</v>
      </c>
      <c r="C21" s="47" t="s">
        <v>69</v>
      </c>
      <c r="D21" s="47" t="s">
        <v>365</v>
      </c>
      <c r="E21" s="47" t="s">
        <v>70</v>
      </c>
      <c r="F21" s="53">
        <v>43387.808333333334</v>
      </c>
      <c r="G21" s="47">
        <v>-8.0500000000000007</v>
      </c>
      <c r="H21" s="47">
        <v>0</v>
      </c>
      <c r="I21" s="47">
        <v>6.64</v>
      </c>
      <c r="J21" s="47">
        <v>0</v>
      </c>
      <c r="K21" s="47">
        <v>37.76</v>
      </c>
      <c r="L21" s="47">
        <v>0</v>
      </c>
      <c r="M21" s="47">
        <v>8.0589999999999993</v>
      </c>
      <c r="N21" s="47">
        <v>1.0999999999999999E-2</v>
      </c>
      <c r="O21" s="47">
        <v>-0.32300000000000001</v>
      </c>
      <c r="P21" s="47">
        <v>1.2E-2</v>
      </c>
      <c r="Q21" s="47">
        <v>24.375</v>
      </c>
      <c r="R21" s="47">
        <v>5.1999999999999998E-2</v>
      </c>
      <c r="S21" s="47">
        <v>-0.66200000000000003</v>
      </c>
      <c r="T21" s="47">
        <v>5.1999999999999998E-2</v>
      </c>
      <c r="U21" s="47">
        <v>-24.673999999999999</v>
      </c>
      <c r="V21" s="47">
        <v>4.6520000000000001</v>
      </c>
      <c r="W21" s="47">
        <v>-44.341999999999999</v>
      </c>
      <c r="X21" s="47">
        <v>4.5590000000000002</v>
      </c>
      <c r="Y21" s="47">
        <v>-8.8688774899999996E-3</v>
      </c>
      <c r="Z21" s="47" t="s">
        <v>368</v>
      </c>
      <c r="AA21" s="47">
        <v>-0.252</v>
      </c>
      <c r="AB21" s="47">
        <v>1.1243344280000001</v>
      </c>
      <c r="AC21" s="47">
        <v>0.8533245908</v>
      </c>
      <c r="AD21" s="47">
        <v>0.56999999999999995</v>
      </c>
      <c r="AE21" s="47">
        <v>0</v>
      </c>
      <c r="AF21" s="47">
        <v>-2.1282790400000001E-2</v>
      </c>
      <c r="AG21" s="47" t="s">
        <v>369</v>
      </c>
      <c r="AH21" s="47">
        <v>-0.14399999999999999</v>
      </c>
      <c r="AI21" s="47">
        <v>0.78606619580000003</v>
      </c>
      <c r="AJ21" s="47">
        <v>0.27819339920000002</v>
      </c>
      <c r="AK21" s="47">
        <v>0.16500000000000001</v>
      </c>
      <c r="AL21" s="47">
        <v>0</v>
      </c>
      <c r="AM21" s="47">
        <v>-7.85</v>
      </c>
      <c r="AN21" s="47"/>
      <c r="AO21" s="47"/>
      <c r="AP21" s="47">
        <v>-0.99</v>
      </c>
      <c r="AQ21" s="47"/>
      <c r="AR21" s="47"/>
      <c r="AS21" s="47">
        <v>29.9</v>
      </c>
      <c r="AT21" s="47"/>
      <c r="AU21" s="47"/>
      <c r="AV21" s="47">
        <v>0.56999999999999995</v>
      </c>
      <c r="AW21" s="47"/>
      <c r="AX21" s="47"/>
      <c r="AY21" s="47"/>
      <c r="AZ21" s="47"/>
      <c r="BA21" s="47">
        <v>0.16500000000000001</v>
      </c>
      <c r="BB21" s="47"/>
      <c r="BC21" s="47"/>
      <c r="BD21" s="47"/>
      <c r="BE21" s="47"/>
      <c r="BF21" s="47">
        <v>33.42851297</v>
      </c>
      <c r="BG21" s="47"/>
      <c r="BH21" s="47"/>
      <c r="BI21" s="47">
        <v>1.027553889</v>
      </c>
      <c r="BJ21" s="47"/>
      <c r="BK21" s="47">
        <v>2.2832000109999999</v>
      </c>
      <c r="BL21" s="47"/>
      <c r="BM21" s="47"/>
    </row>
    <row r="22" spans="1:65" x14ac:dyDescent="0.2">
      <c r="A22" s="47" t="s">
        <v>355</v>
      </c>
      <c r="B22" s="53">
        <v>43550.018750000003</v>
      </c>
      <c r="C22" s="47" t="s">
        <v>69</v>
      </c>
      <c r="D22" s="47" t="s">
        <v>365</v>
      </c>
      <c r="E22" s="47" t="s">
        <v>70</v>
      </c>
      <c r="F22" s="53">
        <v>43540.749305555553</v>
      </c>
      <c r="G22" s="47">
        <v>-8.06</v>
      </c>
      <c r="H22" s="47">
        <v>0</v>
      </c>
      <c r="I22" s="47">
        <v>7.34</v>
      </c>
      <c r="J22" s="47">
        <v>0</v>
      </c>
      <c r="K22" s="47">
        <v>38.49</v>
      </c>
      <c r="L22" s="47">
        <v>0</v>
      </c>
      <c r="M22" s="47">
        <v>8.6829999999999998</v>
      </c>
      <c r="N22" s="47">
        <v>1.6E-2</v>
      </c>
      <c r="O22" s="47">
        <v>-0.40899999999999997</v>
      </c>
      <c r="P22" s="47">
        <v>1.6E-2</v>
      </c>
      <c r="Q22" s="47">
        <v>25.364999999999998</v>
      </c>
      <c r="R22" s="47">
        <v>4.2000000000000003E-2</v>
      </c>
      <c r="S22" s="47">
        <v>-1.0940000000000001</v>
      </c>
      <c r="T22" s="47">
        <v>4.2000000000000003E-2</v>
      </c>
      <c r="U22" s="47">
        <v>15.430999999999999</v>
      </c>
      <c r="V22" s="47">
        <v>2.407</v>
      </c>
      <c r="W22" s="47">
        <v>-6.4279999999999999</v>
      </c>
      <c r="X22" s="47">
        <v>2.3559999999999999</v>
      </c>
      <c r="Y22" s="47">
        <v>-9.6584130460000001E-3</v>
      </c>
      <c r="Z22" s="47" t="s">
        <v>370</v>
      </c>
      <c r="AA22" s="47">
        <v>-0.32500000000000001</v>
      </c>
      <c r="AB22" s="47">
        <v>1.04478823</v>
      </c>
      <c r="AC22" s="47">
        <v>0.93677524469999995</v>
      </c>
      <c r="AD22" s="47">
        <v>0.59799999999999998</v>
      </c>
      <c r="AE22" s="47">
        <v>0</v>
      </c>
      <c r="AF22" s="47">
        <v>-3.5068121369999997E-2</v>
      </c>
      <c r="AG22" s="47" t="s">
        <v>371</v>
      </c>
      <c r="AH22" s="47">
        <v>-0.20399999999999999</v>
      </c>
      <c r="AI22" s="47">
        <v>0.6635244414</v>
      </c>
      <c r="AJ22" s="47">
        <v>0.36260971510000001</v>
      </c>
      <c r="AK22" s="47">
        <v>0.22700000000000001</v>
      </c>
      <c r="AL22" s="47">
        <v>0</v>
      </c>
      <c r="AM22" s="47">
        <v>-7.93</v>
      </c>
      <c r="AN22" s="47"/>
      <c r="AO22" s="47"/>
      <c r="AP22" s="47">
        <v>-0.75</v>
      </c>
      <c r="AQ22" s="47"/>
      <c r="AR22" s="47"/>
      <c r="AS22" s="47">
        <v>30.15</v>
      </c>
      <c r="AT22" s="47"/>
      <c r="AU22" s="47"/>
      <c r="AV22" s="47">
        <v>0.59799999999999998</v>
      </c>
      <c r="AW22" s="47"/>
      <c r="AX22" s="47"/>
      <c r="AY22" s="47"/>
      <c r="AZ22" s="47"/>
      <c r="BA22" s="47">
        <v>0.22700000000000001</v>
      </c>
      <c r="BB22" s="47"/>
      <c r="BC22" s="47"/>
      <c r="BD22" s="47"/>
      <c r="BE22" s="47"/>
      <c r="BF22" s="47">
        <v>23.604213219999998</v>
      </c>
      <c r="BG22" s="47"/>
      <c r="BH22" s="47"/>
      <c r="BI22" s="47">
        <v>1.029539776</v>
      </c>
      <c r="BJ22" s="47"/>
      <c r="BK22" s="47">
        <v>0.59271574650000003</v>
      </c>
      <c r="BL22" s="47"/>
      <c r="BM22" s="47"/>
    </row>
    <row r="23" spans="1:65" x14ac:dyDescent="0.2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</row>
    <row r="24" spans="1:65" s="52" customFormat="1" x14ac:dyDescent="0.2">
      <c r="A24" s="50" t="s">
        <v>372</v>
      </c>
      <c r="B24" s="49"/>
      <c r="C24" s="49"/>
      <c r="D24" s="49"/>
      <c r="E24" s="49"/>
      <c r="F24" s="49"/>
      <c r="G24" s="49"/>
      <c r="H24" s="50">
        <v>2.8722813230000001E-2</v>
      </c>
      <c r="I24" s="49"/>
      <c r="J24" s="50">
        <v>0.23900400969999999</v>
      </c>
      <c r="K24" s="49"/>
      <c r="L24" s="50">
        <v>0.24633987360000001</v>
      </c>
      <c r="M24" s="49"/>
      <c r="N24" s="50">
        <v>0.2386613273</v>
      </c>
      <c r="O24" s="49"/>
      <c r="P24" s="50">
        <v>3.112608767E-2</v>
      </c>
      <c r="Q24" s="49"/>
      <c r="R24" s="50">
        <v>0.42330610969999999</v>
      </c>
      <c r="S24" s="49"/>
      <c r="T24" s="50">
        <v>0.15009684370000001</v>
      </c>
      <c r="U24" s="49"/>
      <c r="V24" s="50">
        <v>10.959135399999999</v>
      </c>
      <c r="W24" s="49"/>
      <c r="X24" s="50">
        <v>10.56173371</v>
      </c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50">
        <v>-6.0250000000000004</v>
      </c>
      <c r="AO24" s="50">
        <v>7.3257536590000005E-2</v>
      </c>
      <c r="AP24" s="49"/>
      <c r="AQ24" s="50">
        <f>AVERAGE(AP25:AP28)</f>
        <v>-0.98750000000000016</v>
      </c>
      <c r="AR24" s="50">
        <v>0.40876847560000001</v>
      </c>
      <c r="AS24" s="49"/>
      <c r="AT24" s="50">
        <v>29.9025</v>
      </c>
      <c r="AU24" s="50">
        <v>0.42287705069999998</v>
      </c>
      <c r="AV24" s="49"/>
      <c r="AW24" s="50">
        <v>0.61724999999999997</v>
      </c>
      <c r="AX24" s="50">
        <v>1.533718249E-2</v>
      </c>
      <c r="AY24" s="51">
        <v>3.067436498E-2</v>
      </c>
      <c r="AZ24" s="51">
        <v>5.9815011699999997E-2</v>
      </c>
      <c r="BA24" s="49"/>
      <c r="BB24" s="50">
        <v>0.14149999999999999</v>
      </c>
      <c r="BC24" s="50">
        <v>8.1306518800000005E-2</v>
      </c>
      <c r="BD24" s="49"/>
      <c r="BE24" s="49"/>
      <c r="BF24" s="49"/>
      <c r="BG24" s="50">
        <v>17.721670320000001</v>
      </c>
      <c r="BH24" s="50">
        <v>4.6942954639999996</v>
      </c>
      <c r="BI24" s="49"/>
      <c r="BJ24" s="50">
        <v>1.0308470300000001</v>
      </c>
      <c r="BK24" s="49"/>
      <c r="BL24" s="50">
        <f>AVERAGE(BK25:BK28)</f>
        <v>-0.91264248980000007</v>
      </c>
      <c r="BM24" s="50">
        <f>STDEV(BK25:BK28)</f>
        <v>2.3963753903014391</v>
      </c>
    </row>
    <row r="25" spans="1:65" x14ac:dyDescent="0.2">
      <c r="A25" s="47" t="s">
        <v>67</v>
      </c>
      <c r="B25" s="53">
        <v>43322.801388888889</v>
      </c>
      <c r="C25" s="47" t="s">
        <v>69</v>
      </c>
      <c r="D25" s="47" t="s">
        <v>372</v>
      </c>
      <c r="E25" s="47" t="s">
        <v>70</v>
      </c>
      <c r="F25" s="53">
        <v>43313.37222222222</v>
      </c>
      <c r="G25" s="47">
        <v>-6.09</v>
      </c>
      <c r="H25" s="47">
        <v>0</v>
      </c>
      <c r="I25" s="47">
        <v>7.57</v>
      </c>
      <c r="J25" s="47">
        <v>0</v>
      </c>
      <c r="K25" s="47">
        <v>38.72</v>
      </c>
      <c r="L25" s="47">
        <v>0</v>
      </c>
      <c r="M25" s="47">
        <v>10.818</v>
      </c>
      <c r="N25" s="47">
        <v>0.01</v>
      </c>
      <c r="O25" s="47">
        <v>-0.433</v>
      </c>
      <c r="P25" s="47">
        <v>1.0999999999999999E-2</v>
      </c>
      <c r="Q25" s="47">
        <v>26.338000000000001</v>
      </c>
      <c r="R25" s="47">
        <v>4.9000000000000002E-2</v>
      </c>
      <c r="S25" s="47">
        <v>-0.59799999999999998</v>
      </c>
      <c r="T25" s="47">
        <v>4.7E-2</v>
      </c>
      <c r="U25" s="47">
        <v>-24.736999999999998</v>
      </c>
      <c r="V25" s="47">
        <v>4.0670000000000002</v>
      </c>
      <c r="W25" s="47">
        <v>-48.042000000000002</v>
      </c>
      <c r="X25" s="47">
        <v>3.9689999999999999</v>
      </c>
      <c r="Y25" s="47">
        <v>-9.9238529080000002E-3</v>
      </c>
      <c r="Z25" s="47" t="s">
        <v>373</v>
      </c>
      <c r="AA25" s="47">
        <v>-0.32600000000000001</v>
      </c>
      <c r="AB25" s="47">
        <v>0.97286065489999995</v>
      </c>
      <c r="AC25" s="47">
        <v>0.90426000049999999</v>
      </c>
      <c r="AD25" s="47">
        <v>0.58699999999999997</v>
      </c>
      <c r="AE25" s="47">
        <v>0</v>
      </c>
      <c r="AF25" s="47">
        <v>-1.9226983350000001E-2</v>
      </c>
      <c r="AG25" s="47" t="s">
        <v>374</v>
      </c>
      <c r="AH25" s="47">
        <v>-9.0999999999999998E-2</v>
      </c>
      <c r="AI25" s="47">
        <v>0.72767864859999998</v>
      </c>
      <c r="AJ25" s="47">
        <v>0.2909806016</v>
      </c>
      <c r="AK25" s="47">
        <v>0.22500000000000001</v>
      </c>
      <c r="AL25" s="47">
        <v>0</v>
      </c>
      <c r="AM25" s="47">
        <v>-5.96</v>
      </c>
      <c r="AN25" s="47"/>
      <c r="AO25" s="47"/>
      <c r="AP25" s="47">
        <v>-0.69</v>
      </c>
      <c r="AQ25" s="47"/>
      <c r="AR25" s="47"/>
      <c r="AS25" s="47">
        <v>30.21</v>
      </c>
      <c r="AT25" s="47"/>
      <c r="AU25" s="47"/>
      <c r="AV25" s="47">
        <v>0.58699999999999997</v>
      </c>
      <c r="AW25" s="47"/>
      <c r="AX25" s="47"/>
      <c r="AY25" s="47"/>
      <c r="AZ25" s="47"/>
      <c r="BA25" s="47">
        <v>0.22500000000000001</v>
      </c>
      <c r="BB25" s="47"/>
      <c r="BC25" s="47"/>
      <c r="BD25" s="47"/>
      <c r="BE25" s="47"/>
      <c r="BF25" s="47">
        <v>27.3499683</v>
      </c>
      <c r="BG25" s="47"/>
      <c r="BH25" s="47"/>
      <c r="BI25" s="47">
        <v>1.028766836</v>
      </c>
      <c r="BJ25" s="47"/>
      <c r="BK25" s="47">
        <v>1.4028097500000001</v>
      </c>
      <c r="BL25" s="47"/>
      <c r="BM25" s="47"/>
    </row>
    <row r="26" spans="1:65" x14ac:dyDescent="0.2">
      <c r="A26" s="47" t="s">
        <v>81</v>
      </c>
      <c r="B26" s="53">
        <v>43378.876388888886</v>
      </c>
      <c r="C26" s="47" t="s">
        <v>69</v>
      </c>
      <c r="D26" s="47" t="s">
        <v>372</v>
      </c>
      <c r="E26" s="47" t="s">
        <v>70</v>
      </c>
      <c r="F26" s="53">
        <v>43353.338888888888</v>
      </c>
      <c r="G26" s="47">
        <v>-6.21</v>
      </c>
      <c r="H26" s="47">
        <v>0</v>
      </c>
      <c r="I26" s="47">
        <v>6.74</v>
      </c>
      <c r="J26" s="47">
        <v>0</v>
      </c>
      <c r="K26" s="47">
        <v>37.869999999999997</v>
      </c>
      <c r="L26" s="47">
        <v>0</v>
      </c>
      <c r="M26" s="47">
        <v>9.9649999999999999</v>
      </c>
      <c r="N26" s="47">
        <v>1.6E-2</v>
      </c>
      <c r="O26" s="47">
        <v>-0.33300000000000002</v>
      </c>
      <c r="P26" s="47">
        <v>1.4999999999999999E-2</v>
      </c>
      <c r="Q26" s="47">
        <v>24.882999999999999</v>
      </c>
      <c r="R26" s="47">
        <v>4.1000000000000002E-2</v>
      </c>
      <c r="S26" s="47">
        <v>-0.379</v>
      </c>
      <c r="T26" s="47">
        <v>3.9E-2</v>
      </c>
      <c r="U26" s="47">
        <v>-21.416</v>
      </c>
      <c r="V26" s="47">
        <v>5.1970000000000001</v>
      </c>
      <c r="W26" s="47">
        <v>-43.125</v>
      </c>
      <c r="X26" s="47">
        <v>5.0810000000000004</v>
      </c>
      <c r="Y26" s="47">
        <v>-9.831821248E-3</v>
      </c>
      <c r="Z26" s="47" t="s">
        <v>375</v>
      </c>
      <c r="AA26" s="47">
        <v>-0.23499999999999999</v>
      </c>
      <c r="AB26" s="47">
        <v>1.1157165069999999</v>
      </c>
      <c r="AC26" s="47">
        <v>0.92183910690000004</v>
      </c>
      <c r="AD26" s="47">
        <v>0.66</v>
      </c>
      <c r="AE26" s="47">
        <v>0</v>
      </c>
      <c r="AF26" s="47">
        <v>-4.8819414899999997E-3</v>
      </c>
      <c r="AG26" s="47" t="s">
        <v>376</v>
      </c>
      <c r="AH26" s="47">
        <v>-0.25800000000000001</v>
      </c>
      <c r="AI26" s="47">
        <v>1.5361175199999999</v>
      </c>
      <c r="AJ26" s="47">
        <v>0.29327423359999999</v>
      </c>
      <c r="AK26" s="47">
        <v>-0.10199999999999999</v>
      </c>
      <c r="AL26" s="47">
        <v>0</v>
      </c>
      <c r="AM26" s="47">
        <v>-6.13</v>
      </c>
      <c r="AN26" s="47"/>
      <c r="AO26" s="47"/>
      <c r="AP26" s="47">
        <v>-1.55</v>
      </c>
      <c r="AQ26" s="47"/>
      <c r="AR26" s="47"/>
      <c r="AS26" s="47">
        <v>29.32</v>
      </c>
      <c r="AT26" s="47"/>
      <c r="AU26" s="47"/>
      <c r="AV26" s="47">
        <v>0.66</v>
      </c>
      <c r="AW26" s="47"/>
      <c r="AX26" s="47"/>
      <c r="AY26" s="47"/>
      <c r="AZ26" s="47"/>
      <c r="BA26" s="47">
        <v>-0.10199999999999999</v>
      </c>
      <c r="BB26" s="47"/>
      <c r="BC26" s="47"/>
      <c r="BD26" s="47"/>
      <c r="BE26" s="47"/>
      <c r="BF26" s="47">
        <v>4.8297245709999999</v>
      </c>
      <c r="BG26" s="47"/>
      <c r="BH26" s="47"/>
      <c r="BI26" s="47">
        <v>1.0337378749999999</v>
      </c>
      <c r="BJ26" s="47"/>
      <c r="BK26" s="47">
        <v>-4.2736895600000002</v>
      </c>
      <c r="BL26" s="47"/>
      <c r="BM26" s="47"/>
    </row>
    <row r="27" spans="1:65" x14ac:dyDescent="0.2">
      <c r="A27" s="47" t="s">
        <v>89</v>
      </c>
      <c r="B27" s="53">
        <v>43395.822222222225</v>
      </c>
      <c r="C27" s="47" t="s">
        <v>69</v>
      </c>
      <c r="D27" s="47" t="s">
        <v>372</v>
      </c>
      <c r="E27" s="47" t="s">
        <v>70</v>
      </c>
      <c r="F27" s="53">
        <v>43387.808333333334</v>
      </c>
      <c r="G27" s="47">
        <v>-6.21</v>
      </c>
      <c r="H27" s="47">
        <v>0</v>
      </c>
      <c r="I27" s="47">
        <v>6.61</v>
      </c>
      <c r="J27" s="47">
        <v>0</v>
      </c>
      <c r="K27" s="47">
        <v>37.729999999999997</v>
      </c>
      <c r="L27" s="47">
        <v>0</v>
      </c>
      <c r="M27" s="47">
        <v>9.8539999999999992</v>
      </c>
      <c r="N27" s="47">
        <v>1.4999999999999999E-2</v>
      </c>
      <c r="O27" s="47">
        <v>-0.30399999999999999</v>
      </c>
      <c r="P27" s="47">
        <v>1.7000000000000001E-2</v>
      </c>
      <c r="Q27" s="47">
        <v>24.375</v>
      </c>
      <c r="R27" s="47">
        <v>3.5000000000000003E-2</v>
      </c>
      <c r="S27" s="47">
        <v>-0.60599999999999998</v>
      </c>
      <c r="T27" s="47">
        <v>3.6999999999999998E-2</v>
      </c>
      <c r="U27" s="47">
        <v>-15.763999999999999</v>
      </c>
      <c r="V27" s="47">
        <v>3.5419999999999998</v>
      </c>
      <c r="W27" s="47">
        <v>-37.338000000000001</v>
      </c>
      <c r="X27" s="47">
        <v>3.464</v>
      </c>
      <c r="Y27" s="47">
        <v>-8.8688774899999996E-3</v>
      </c>
      <c r="Z27" s="47" t="s">
        <v>377</v>
      </c>
      <c r="AA27" s="47">
        <v>-0.217</v>
      </c>
      <c r="AB27" s="47">
        <v>1.1243344280000001</v>
      </c>
      <c r="AC27" s="47">
        <v>0.8533245908</v>
      </c>
      <c r="AD27" s="47">
        <v>0.61</v>
      </c>
      <c r="AE27" s="47">
        <v>0</v>
      </c>
      <c r="AF27" s="47">
        <v>-2.1282790400000001E-2</v>
      </c>
      <c r="AG27" s="47" t="s">
        <v>378</v>
      </c>
      <c r="AH27" s="47">
        <v>-8.6999999999999994E-2</v>
      </c>
      <c r="AI27" s="47">
        <v>0.78606619580000003</v>
      </c>
      <c r="AJ27" s="47">
        <v>0.27819339920000002</v>
      </c>
      <c r="AK27" s="47">
        <v>0.21</v>
      </c>
      <c r="AL27" s="47">
        <v>0</v>
      </c>
      <c r="AM27" s="47">
        <v>-6.01</v>
      </c>
      <c r="AN27" s="47"/>
      <c r="AO27" s="47"/>
      <c r="AP27" s="47">
        <v>-1.03</v>
      </c>
      <c r="AQ27" s="47"/>
      <c r="AR27" s="47"/>
      <c r="AS27" s="47">
        <v>29.86</v>
      </c>
      <c r="AT27" s="47"/>
      <c r="AU27" s="47"/>
      <c r="AV27" s="47">
        <v>0.61</v>
      </c>
      <c r="AW27" s="47"/>
      <c r="AX27" s="47"/>
      <c r="AY27" s="47"/>
      <c r="AZ27" s="47"/>
      <c r="BA27" s="47">
        <v>0.21</v>
      </c>
      <c r="BB27" s="47"/>
      <c r="BC27" s="47"/>
      <c r="BD27" s="47"/>
      <c r="BE27" s="47"/>
      <c r="BF27" s="47">
        <v>19.673520289999999</v>
      </c>
      <c r="BG27" s="47"/>
      <c r="BH27" s="47"/>
      <c r="BI27" s="47">
        <v>1.0303727899999999</v>
      </c>
      <c r="BJ27" s="47"/>
      <c r="BK27" s="47">
        <v>-0.49767428250000001</v>
      </c>
      <c r="BL27" s="47"/>
      <c r="BM27" s="47"/>
    </row>
    <row r="28" spans="1:65" x14ac:dyDescent="0.2">
      <c r="A28" s="47" t="s">
        <v>355</v>
      </c>
      <c r="B28" s="53">
        <v>43549.930555555555</v>
      </c>
      <c r="C28" s="47" t="s">
        <v>69</v>
      </c>
      <c r="D28" s="47" t="s">
        <v>372</v>
      </c>
      <c r="E28" s="47" t="s">
        <v>70</v>
      </c>
      <c r="F28" s="53">
        <v>43540.749305555553</v>
      </c>
      <c r="G28" s="47">
        <v>-6.15</v>
      </c>
      <c r="H28" s="47">
        <v>0</v>
      </c>
      <c r="I28" s="47">
        <v>7.41</v>
      </c>
      <c r="J28" s="47">
        <v>0</v>
      </c>
      <c r="K28" s="47">
        <v>38.56</v>
      </c>
      <c r="L28" s="47">
        <v>0</v>
      </c>
      <c r="M28" s="47">
        <v>10.624000000000001</v>
      </c>
      <c r="N28" s="47">
        <v>8.0000000000000002E-3</v>
      </c>
      <c r="O28" s="47">
        <v>-0.41399999999999998</v>
      </c>
      <c r="P28" s="47">
        <v>8.9999999999999993E-3</v>
      </c>
      <c r="Q28" s="47">
        <v>25.513000000000002</v>
      </c>
      <c r="R28" s="47">
        <v>4.8000000000000001E-2</v>
      </c>
      <c r="S28" s="47">
        <v>-1.0900000000000001</v>
      </c>
      <c r="T28" s="47">
        <v>4.7E-2</v>
      </c>
      <c r="U28" s="47">
        <v>22.567</v>
      </c>
      <c r="V28" s="47">
        <v>2.948</v>
      </c>
      <c r="W28" s="47">
        <v>-1.504</v>
      </c>
      <c r="X28" s="47">
        <v>2.8769999999999998</v>
      </c>
      <c r="Y28" s="47">
        <v>-9.6584130460000001E-3</v>
      </c>
      <c r="Z28" s="47" t="s">
        <v>379</v>
      </c>
      <c r="AA28" s="47">
        <v>-0.311</v>
      </c>
      <c r="AB28" s="47">
        <v>1.04478823</v>
      </c>
      <c r="AC28" s="47">
        <v>0.93677524469999995</v>
      </c>
      <c r="AD28" s="47">
        <v>0.61199999999999999</v>
      </c>
      <c r="AE28" s="47">
        <v>0</v>
      </c>
      <c r="AF28" s="47">
        <v>-3.5068121369999997E-2</v>
      </c>
      <c r="AG28" s="47" t="s">
        <v>380</v>
      </c>
      <c r="AH28" s="47">
        <v>-0.19600000000000001</v>
      </c>
      <c r="AI28" s="47">
        <v>0.6635244414</v>
      </c>
      <c r="AJ28" s="47">
        <v>0.36260971510000001</v>
      </c>
      <c r="AK28" s="47">
        <v>0.23300000000000001</v>
      </c>
      <c r="AL28" s="47">
        <v>0</v>
      </c>
      <c r="AM28" s="47">
        <v>-6</v>
      </c>
      <c r="AN28" s="47"/>
      <c r="AO28" s="47"/>
      <c r="AP28" s="47">
        <v>-0.68</v>
      </c>
      <c r="AQ28" s="47"/>
      <c r="AR28" s="47"/>
      <c r="AS28" s="47">
        <v>30.22</v>
      </c>
      <c r="AT28" s="47"/>
      <c r="AU28" s="47"/>
      <c r="AV28" s="47">
        <v>0.61199999999999999</v>
      </c>
      <c r="AW28" s="47"/>
      <c r="AX28" s="47"/>
      <c r="AY28" s="47"/>
      <c r="AZ28" s="47"/>
      <c r="BA28" s="47">
        <v>0.23300000000000001</v>
      </c>
      <c r="BB28" s="47"/>
      <c r="BC28" s="47"/>
      <c r="BD28" s="47"/>
      <c r="BE28" s="47"/>
      <c r="BF28" s="47">
        <v>19.033468110000001</v>
      </c>
      <c r="BG28" s="47"/>
      <c r="BH28" s="47"/>
      <c r="BI28" s="47">
        <v>1.03051062</v>
      </c>
      <c r="BJ28" s="47"/>
      <c r="BK28" s="47">
        <v>-0.28201586670000001</v>
      </c>
      <c r="BL28" s="47"/>
      <c r="BM28" s="47"/>
    </row>
    <row r="29" spans="1:65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</row>
    <row r="30" spans="1:65" s="52" customFormat="1" x14ac:dyDescent="0.2">
      <c r="A30" s="50" t="s">
        <v>381</v>
      </c>
      <c r="B30" s="49"/>
      <c r="C30" s="49"/>
      <c r="D30" s="49"/>
      <c r="E30" s="49"/>
      <c r="F30" s="49"/>
      <c r="G30" s="49"/>
      <c r="H30" s="50">
        <v>4.8419463490000002E-2</v>
      </c>
      <c r="I30" s="49"/>
      <c r="J30" s="50">
        <v>0.27834830300000002</v>
      </c>
      <c r="K30" s="49"/>
      <c r="L30" s="50">
        <v>0.28672480030000003</v>
      </c>
      <c r="M30" s="49"/>
      <c r="N30" s="50">
        <v>0.2946757163</v>
      </c>
      <c r="O30" s="49"/>
      <c r="P30" s="50">
        <v>3.8480875480000003E-2</v>
      </c>
      <c r="Q30" s="49"/>
      <c r="R30" s="50">
        <v>0.54646510510000001</v>
      </c>
      <c r="S30" s="49"/>
      <c r="T30" s="50">
        <v>2.577035334E-2</v>
      </c>
      <c r="U30" s="49"/>
      <c r="V30" s="50">
        <v>2.9271500549999998</v>
      </c>
      <c r="W30" s="49"/>
      <c r="X30" s="50">
        <v>2.760392001</v>
      </c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50">
        <v>-7.14</v>
      </c>
      <c r="AO30" s="50">
        <v>4.3588989440000003E-2</v>
      </c>
      <c r="AP30" s="49"/>
      <c r="AQ30" s="50">
        <f>AVERAGE(AP31:AP33)</f>
        <v>-0.47666666666666674</v>
      </c>
      <c r="AR30" s="50">
        <v>8.3864970839999997E-2</v>
      </c>
      <c r="AS30" s="49"/>
      <c r="AT30" s="50">
        <v>30.43</v>
      </c>
      <c r="AU30" s="50">
        <v>8.7177978870000006E-2</v>
      </c>
      <c r="AV30" s="49"/>
      <c r="AW30" s="50">
        <v>0.58933333330000004</v>
      </c>
      <c r="AX30" s="50">
        <v>6.3595946760000004E-3</v>
      </c>
      <c r="AY30" s="51">
        <v>1.101514109E-2</v>
      </c>
      <c r="AZ30" s="51">
        <v>2.147952513E-2</v>
      </c>
      <c r="BA30" s="49"/>
      <c r="BB30" s="50">
        <v>0.247</v>
      </c>
      <c r="BC30" s="50">
        <v>1.9857828009999998E-2</v>
      </c>
      <c r="BD30" s="49"/>
      <c r="BE30" s="49"/>
      <c r="BF30" s="49"/>
      <c r="BG30" s="50">
        <v>26.590992580000002</v>
      </c>
      <c r="BH30" s="50">
        <v>2.1668167129999998</v>
      </c>
      <c r="BI30" s="49"/>
      <c r="BJ30" s="50">
        <v>1.028928498</v>
      </c>
      <c r="BK30" s="49"/>
      <c r="BL30" s="50">
        <f>AVERAGE(BK31:BK33)</f>
        <v>1.4596863669333333</v>
      </c>
      <c r="BM30" s="50">
        <f>STDEV(BK31:BK33)</f>
        <v>0.80043419822354556</v>
      </c>
    </row>
    <row r="31" spans="1:65" x14ac:dyDescent="0.2">
      <c r="A31" s="47" t="s">
        <v>67</v>
      </c>
      <c r="B31" s="53">
        <v>43322.88958333333</v>
      </c>
      <c r="C31" s="47" t="s">
        <v>69</v>
      </c>
      <c r="D31" s="47" t="s">
        <v>381</v>
      </c>
      <c r="E31" s="47" t="s">
        <v>70</v>
      </c>
      <c r="F31" s="53">
        <v>43313.37222222222</v>
      </c>
      <c r="G31" s="47">
        <v>-7.22</v>
      </c>
      <c r="H31" s="47">
        <v>0</v>
      </c>
      <c r="I31" s="47">
        <v>7.88</v>
      </c>
      <c r="J31" s="47">
        <v>0</v>
      </c>
      <c r="K31" s="47">
        <v>39.04</v>
      </c>
      <c r="L31" s="47">
        <v>0</v>
      </c>
      <c r="M31" s="47">
        <v>10.037000000000001</v>
      </c>
      <c r="N31" s="47">
        <v>0.01</v>
      </c>
      <c r="O31" s="47">
        <v>-0.42799999999999999</v>
      </c>
      <c r="P31" s="47">
        <v>7.0000000000000001E-3</v>
      </c>
      <c r="Q31" s="47">
        <v>26.946000000000002</v>
      </c>
      <c r="R31" s="47">
        <v>4.8000000000000001E-2</v>
      </c>
      <c r="S31" s="47">
        <v>-0.61899999999999999</v>
      </c>
      <c r="T31" s="47">
        <v>4.2000000000000003E-2</v>
      </c>
      <c r="U31" s="47">
        <v>-20.245999999999999</v>
      </c>
      <c r="V31" s="47">
        <v>2.1059999999999999</v>
      </c>
      <c r="W31" s="47">
        <v>-43.168999999999997</v>
      </c>
      <c r="X31" s="47">
        <v>2.0590000000000002</v>
      </c>
      <c r="Y31" s="47">
        <v>-9.9238529080000002E-3</v>
      </c>
      <c r="Z31" s="47" t="s">
        <v>382</v>
      </c>
      <c r="AA31" s="47">
        <v>-0.32900000000000001</v>
      </c>
      <c r="AB31" s="47">
        <v>0.97286065489999995</v>
      </c>
      <c r="AC31" s="47">
        <v>0.90426000049999999</v>
      </c>
      <c r="AD31" s="47">
        <v>0.58399999999999996</v>
      </c>
      <c r="AE31" s="47">
        <v>0</v>
      </c>
      <c r="AF31" s="47">
        <v>-1.9226983350000001E-2</v>
      </c>
      <c r="AG31" s="47" t="s">
        <v>383</v>
      </c>
      <c r="AH31" s="47">
        <v>-0.10100000000000001</v>
      </c>
      <c r="AI31" s="47">
        <v>0.72767864859999998</v>
      </c>
      <c r="AJ31" s="47">
        <v>0.2909806016</v>
      </c>
      <c r="AK31" s="47">
        <v>0.218</v>
      </c>
      <c r="AL31" s="47">
        <v>0</v>
      </c>
      <c r="AM31" s="47">
        <v>-7.09</v>
      </c>
      <c r="AN31" s="47"/>
      <c r="AO31" s="47"/>
      <c r="AP31" s="47">
        <v>-0.38</v>
      </c>
      <c r="AQ31" s="47"/>
      <c r="AR31" s="47"/>
      <c r="AS31" s="47">
        <v>30.53</v>
      </c>
      <c r="AT31" s="47"/>
      <c r="AU31" s="47"/>
      <c r="AV31" s="47">
        <v>0.58399999999999996</v>
      </c>
      <c r="AW31" s="47"/>
      <c r="AX31" s="47"/>
      <c r="AY31" s="47"/>
      <c r="AZ31" s="47"/>
      <c r="BA31" s="47">
        <v>0.218</v>
      </c>
      <c r="BB31" s="47"/>
      <c r="BC31" s="47"/>
      <c r="BD31" s="47"/>
      <c r="BE31" s="47"/>
      <c r="BF31" s="47">
        <v>28.396401999999998</v>
      </c>
      <c r="BG31" s="47"/>
      <c r="BH31" s="47"/>
      <c r="BI31" s="47">
        <v>1.0285544369999999</v>
      </c>
      <c r="BJ31" s="47"/>
      <c r="BK31" s="47">
        <v>1.920718267</v>
      </c>
      <c r="BL31" s="47"/>
      <c r="BM31" s="47"/>
    </row>
    <row r="32" spans="1:65" x14ac:dyDescent="0.2">
      <c r="A32" s="47" t="s">
        <v>81</v>
      </c>
      <c r="B32" s="53">
        <v>43395.910416666666</v>
      </c>
      <c r="C32" s="47" t="s">
        <v>69</v>
      </c>
      <c r="D32" s="47" t="s">
        <v>381</v>
      </c>
      <c r="E32" s="47" t="s">
        <v>70</v>
      </c>
      <c r="F32" s="53">
        <v>43387.808333333334</v>
      </c>
      <c r="G32" s="47">
        <v>-7.37</v>
      </c>
      <c r="H32" s="47">
        <v>0</v>
      </c>
      <c r="I32" s="47">
        <v>7.04</v>
      </c>
      <c r="J32" s="47">
        <v>0</v>
      </c>
      <c r="K32" s="47">
        <v>38.17</v>
      </c>
      <c r="L32" s="47">
        <v>0</v>
      </c>
      <c r="M32" s="47">
        <v>9.1489999999999991</v>
      </c>
      <c r="N32" s="47">
        <v>1.4999999999999999E-2</v>
      </c>
      <c r="O32" s="47">
        <v>-0.30499999999999999</v>
      </c>
      <c r="P32" s="47">
        <v>1.4E-2</v>
      </c>
      <c r="Q32" s="47">
        <v>25.263000000000002</v>
      </c>
      <c r="R32" s="47">
        <v>7.1999999999999995E-2</v>
      </c>
      <c r="S32" s="47">
        <v>-0.58799999999999997</v>
      </c>
      <c r="T32" s="47">
        <v>6.8000000000000005E-2</v>
      </c>
      <c r="U32" s="47">
        <v>-27.408999999999999</v>
      </c>
      <c r="V32" s="47">
        <v>5.0439999999999996</v>
      </c>
      <c r="W32" s="47">
        <v>-48.424999999999997</v>
      </c>
      <c r="X32" s="47">
        <v>4.9340000000000002</v>
      </c>
      <c r="Y32" s="47">
        <v>-8.8688774899999996E-3</v>
      </c>
      <c r="Z32" s="47" t="s">
        <v>384</v>
      </c>
      <c r="AA32" s="47">
        <v>-0.223</v>
      </c>
      <c r="AB32" s="47">
        <v>1.1243344280000001</v>
      </c>
      <c r="AC32" s="47">
        <v>0.8533245908</v>
      </c>
      <c r="AD32" s="47">
        <v>0.60199999999999998</v>
      </c>
      <c r="AE32" s="47">
        <v>0</v>
      </c>
      <c r="AF32" s="47">
        <v>-2.1282790400000001E-2</v>
      </c>
      <c r="AG32" s="47" t="s">
        <v>385</v>
      </c>
      <c r="AH32" s="47">
        <v>-5.0999999999999997E-2</v>
      </c>
      <c r="AI32" s="47">
        <v>0.78606619580000003</v>
      </c>
      <c r="AJ32" s="47">
        <v>0.27819339920000002</v>
      </c>
      <c r="AK32" s="47">
        <v>0.23799999999999999</v>
      </c>
      <c r="AL32" s="47">
        <v>0</v>
      </c>
      <c r="AM32" s="47">
        <v>-7.17</v>
      </c>
      <c r="AN32" s="47"/>
      <c r="AO32" s="47"/>
      <c r="AP32" s="47">
        <v>-0.53</v>
      </c>
      <c r="AQ32" s="47"/>
      <c r="AR32" s="47"/>
      <c r="AS32" s="47">
        <v>30.37</v>
      </c>
      <c r="AT32" s="47"/>
      <c r="AU32" s="47"/>
      <c r="AV32" s="47">
        <v>0.60199999999999998</v>
      </c>
      <c r="AW32" s="47"/>
      <c r="AX32" s="47"/>
      <c r="AY32" s="47"/>
      <c r="AZ32" s="47"/>
      <c r="BA32" s="47">
        <v>0.23799999999999999</v>
      </c>
      <c r="BB32" s="47"/>
      <c r="BC32" s="47"/>
      <c r="BD32" s="47"/>
      <c r="BE32" s="47"/>
      <c r="BF32" s="47">
        <v>22.276447220000001</v>
      </c>
      <c r="BG32" s="47"/>
      <c r="BH32" s="47"/>
      <c r="BI32" s="47">
        <v>1.0298186090000001</v>
      </c>
      <c r="BJ32" s="47"/>
      <c r="BK32" s="47">
        <v>0.53542543779999996</v>
      </c>
      <c r="BL32" s="47"/>
      <c r="BM32" s="47"/>
    </row>
    <row r="33" spans="1:65" x14ac:dyDescent="0.2">
      <c r="A33" s="47" t="s">
        <v>89</v>
      </c>
      <c r="B33" s="53">
        <v>43396.928472222222</v>
      </c>
      <c r="C33" s="47" t="s">
        <v>69</v>
      </c>
      <c r="D33" s="47" t="s">
        <v>381</v>
      </c>
      <c r="E33" s="47" t="s">
        <v>70</v>
      </c>
      <c r="F33" s="53">
        <v>43387.808333333334</v>
      </c>
      <c r="G33" s="47">
        <v>-7.36</v>
      </c>
      <c r="H33" s="47">
        <v>0</v>
      </c>
      <c r="I33" s="47">
        <v>7.05</v>
      </c>
      <c r="J33" s="47">
        <v>0</v>
      </c>
      <c r="K33" s="47">
        <v>38.19</v>
      </c>
      <c r="L33" s="47">
        <v>0</v>
      </c>
      <c r="M33" s="47">
        <v>9.157</v>
      </c>
      <c r="N33" s="47">
        <v>1.2E-2</v>
      </c>
      <c r="O33" s="47">
        <v>-0.32200000000000001</v>
      </c>
      <c r="P33" s="47">
        <v>1.0999999999999999E-2</v>
      </c>
      <c r="Q33" s="47">
        <v>25.353999999999999</v>
      </c>
      <c r="R33" s="47">
        <v>4.8000000000000001E-2</v>
      </c>
      <c r="S33" s="47">
        <v>-0.53100000000000003</v>
      </c>
      <c r="T33" s="47">
        <v>4.5999999999999999E-2</v>
      </c>
      <c r="U33" s="47">
        <v>-17.611999999999998</v>
      </c>
      <c r="V33" s="47">
        <v>7.0979999999999999</v>
      </c>
      <c r="W33" s="47">
        <v>-38.878999999999998</v>
      </c>
      <c r="X33" s="47">
        <v>6.9420000000000002</v>
      </c>
      <c r="Y33" s="47">
        <v>-8.8688774899999996E-3</v>
      </c>
      <c r="Z33" s="47" t="s">
        <v>386</v>
      </c>
      <c r="AA33" s="47">
        <v>-0.24099999999999999</v>
      </c>
      <c r="AB33" s="47">
        <v>1.1243344280000001</v>
      </c>
      <c r="AC33" s="47">
        <v>0.8533245908</v>
      </c>
      <c r="AD33" s="47">
        <v>0.58199999999999996</v>
      </c>
      <c r="AE33" s="47">
        <v>0</v>
      </c>
      <c r="AF33" s="47">
        <v>-2.1282790400000001E-2</v>
      </c>
      <c r="AG33" s="47" t="s">
        <v>387</v>
      </c>
      <c r="AH33" s="47">
        <v>8.0000000000000002E-3</v>
      </c>
      <c r="AI33" s="47">
        <v>0.78606619580000003</v>
      </c>
      <c r="AJ33" s="47">
        <v>0.27819339920000002</v>
      </c>
      <c r="AK33" s="47">
        <v>0.28499999999999998</v>
      </c>
      <c r="AL33" s="47">
        <v>0</v>
      </c>
      <c r="AM33" s="47">
        <v>-7.16</v>
      </c>
      <c r="AN33" s="47"/>
      <c r="AO33" s="47"/>
      <c r="AP33" s="47">
        <v>-0.52</v>
      </c>
      <c r="AQ33" s="47"/>
      <c r="AR33" s="47"/>
      <c r="AS33" s="47">
        <v>30.39</v>
      </c>
      <c r="AT33" s="47"/>
      <c r="AU33" s="47"/>
      <c r="AV33" s="47">
        <v>0.58199999999999996</v>
      </c>
      <c r="AW33" s="47"/>
      <c r="AX33" s="47"/>
      <c r="AY33" s="47"/>
      <c r="AZ33" s="47"/>
      <c r="BA33" s="47">
        <v>0.28499999999999998</v>
      </c>
      <c r="BB33" s="47"/>
      <c r="BC33" s="47"/>
      <c r="BD33" s="47"/>
      <c r="BE33" s="47"/>
      <c r="BF33" s="47">
        <v>29.100128510000001</v>
      </c>
      <c r="BG33" s="47"/>
      <c r="BH33" s="47"/>
      <c r="BI33" s="47">
        <v>1.02841245</v>
      </c>
      <c r="BJ33" s="47"/>
      <c r="BK33" s="47">
        <v>1.9229153960000001</v>
      </c>
      <c r="BL33" s="47"/>
      <c r="BM33" s="47"/>
    </row>
    <row r="34" spans="1:65" x14ac:dyDescent="0.2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</row>
    <row r="35" spans="1:65" s="52" customFormat="1" x14ac:dyDescent="0.2">
      <c r="A35" s="50" t="s">
        <v>388</v>
      </c>
      <c r="B35" s="49"/>
      <c r="C35" s="49"/>
      <c r="D35" s="49"/>
      <c r="E35" s="49"/>
      <c r="F35" s="49"/>
      <c r="G35" s="49"/>
      <c r="H35" s="50">
        <v>0.44700236139999999</v>
      </c>
      <c r="I35" s="49"/>
      <c r="J35" s="50">
        <v>0.22188585650000001</v>
      </c>
      <c r="K35" s="49"/>
      <c r="L35" s="50">
        <v>0.22835158080000001</v>
      </c>
      <c r="M35" s="49"/>
      <c r="N35" s="50">
        <v>0.32775871880000002</v>
      </c>
      <c r="O35" s="49"/>
      <c r="P35" s="50">
        <v>2.1262904579999999E-2</v>
      </c>
      <c r="Q35" s="49"/>
      <c r="R35" s="50">
        <v>0.41030977460000001</v>
      </c>
      <c r="S35" s="49"/>
      <c r="T35" s="50">
        <v>8.1303956440000005E-2</v>
      </c>
      <c r="U35" s="49"/>
      <c r="V35" s="50">
        <v>47.699438280000003</v>
      </c>
      <c r="W35" s="49"/>
      <c r="X35" s="50">
        <v>46.932481490000001</v>
      </c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50">
        <v>-8.3733333329999997</v>
      </c>
      <c r="AO35" s="50">
        <v>0.76846166680000005</v>
      </c>
      <c r="AP35" s="49"/>
      <c r="AQ35" s="50">
        <f>AVERAGE(AP36:AP38)</f>
        <v>-0.20333333333333334</v>
      </c>
      <c r="AR35" s="50">
        <v>0.38279672590000002</v>
      </c>
      <c r="AS35" s="49"/>
      <c r="AT35" s="50">
        <v>30.71</v>
      </c>
      <c r="AU35" s="50">
        <v>0.39395431209999998</v>
      </c>
      <c r="AV35" s="49"/>
      <c r="AW35" s="50">
        <v>0.62666666670000004</v>
      </c>
      <c r="AX35" s="50">
        <v>2.0341528399999999E-2</v>
      </c>
      <c r="AY35" s="51">
        <v>3.5232560699999999E-2</v>
      </c>
      <c r="AZ35" s="51">
        <v>6.8703493360000006E-2</v>
      </c>
      <c r="BA35" s="49"/>
      <c r="BB35" s="50">
        <v>0.44800000000000001</v>
      </c>
      <c r="BC35" s="50">
        <v>4.5210618219999998E-2</v>
      </c>
      <c r="BD35" s="49"/>
      <c r="BE35" s="49"/>
      <c r="BF35" s="49"/>
      <c r="BG35" s="50">
        <v>14.86083343</v>
      </c>
      <c r="BH35" s="50">
        <v>6.1453376940000002</v>
      </c>
      <c r="BI35" s="49"/>
      <c r="BJ35" s="50">
        <v>1.0314851789999999</v>
      </c>
      <c r="BK35" s="49"/>
      <c r="BL35" s="50">
        <f>AVERAGE(BK36:BK38)</f>
        <v>-0.74738138260000009</v>
      </c>
      <c r="BM35" s="50">
        <f>STDEV(BK36:BK38)</f>
        <v>2.6853711846012351</v>
      </c>
    </row>
    <row r="36" spans="1:65" x14ac:dyDescent="0.2">
      <c r="A36" s="47" t="s">
        <v>67</v>
      </c>
      <c r="B36" s="53">
        <v>43404.737500000003</v>
      </c>
      <c r="C36" s="47" t="s">
        <v>69</v>
      </c>
      <c r="D36" s="47" t="s">
        <v>388</v>
      </c>
      <c r="E36" s="47" t="s">
        <v>70</v>
      </c>
      <c r="F36" s="53">
        <v>43402.436111111114</v>
      </c>
      <c r="G36" s="47">
        <v>-8.1199999999999992</v>
      </c>
      <c r="H36" s="47">
        <v>0</v>
      </c>
      <c r="I36" s="47">
        <v>7.45</v>
      </c>
      <c r="J36" s="47">
        <v>0</v>
      </c>
      <c r="K36" s="47">
        <v>38.6</v>
      </c>
      <c r="L36" s="47">
        <v>0</v>
      </c>
      <c r="M36" s="47">
        <v>8.8140000000000001</v>
      </c>
      <c r="N36" s="47">
        <v>1.6E-2</v>
      </c>
      <c r="O36" s="47">
        <v>-0.33400000000000002</v>
      </c>
      <c r="P36" s="47">
        <v>1.2999999999999999E-2</v>
      </c>
      <c r="Q36" s="47">
        <v>26.315999999999999</v>
      </c>
      <c r="R36" s="47">
        <v>4.2999999999999997E-2</v>
      </c>
      <c r="S36" s="47">
        <v>-0.38900000000000001</v>
      </c>
      <c r="T36" s="47">
        <v>4.4999999999999998E-2</v>
      </c>
      <c r="U36" s="47">
        <v>-22.963999999999999</v>
      </c>
      <c r="V36" s="47">
        <v>3.7120000000000002</v>
      </c>
      <c r="W36" s="47">
        <v>-44.152000000000001</v>
      </c>
      <c r="X36" s="47">
        <v>3.6309999999999998</v>
      </c>
      <c r="Y36" s="47">
        <v>-8.5237678730000002E-3</v>
      </c>
      <c r="Z36" s="47" t="s">
        <v>389</v>
      </c>
      <c r="AA36" s="47">
        <v>-0.25900000000000001</v>
      </c>
      <c r="AB36" s="47">
        <v>0.989407378</v>
      </c>
      <c r="AC36" s="47">
        <v>0.91947831260000001</v>
      </c>
      <c r="AD36" s="47">
        <v>0.66400000000000003</v>
      </c>
      <c r="AE36" s="47">
        <v>0</v>
      </c>
      <c r="AF36" s="47">
        <v>-1.9884951830000001E-2</v>
      </c>
      <c r="AG36" s="47" t="s">
        <v>390</v>
      </c>
      <c r="AH36" s="47">
        <v>0.13400000000000001</v>
      </c>
      <c r="AI36" s="47">
        <v>1.1712216639999999</v>
      </c>
      <c r="AJ36" s="47">
        <v>0.28313993599999998</v>
      </c>
      <c r="AK36" s="47">
        <v>0.44</v>
      </c>
      <c r="AL36" s="47">
        <v>0</v>
      </c>
      <c r="AM36" s="47">
        <v>-7.9</v>
      </c>
      <c r="AN36" s="47"/>
      <c r="AO36" s="47"/>
      <c r="AP36" s="47">
        <v>-0.63</v>
      </c>
      <c r="AQ36" s="47"/>
      <c r="AR36" s="47"/>
      <c r="AS36" s="47">
        <v>30.27</v>
      </c>
      <c r="AT36" s="47"/>
      <c r="AU36" s="47"/>
      <c r="AV36" s="47">
        <v>0.66400000000000003</v>
      </c>
      <c r="AW36" s="47"/>
      <c r="AX36" s="47"/>
      <c r="AY36" s="47"/>
      <c r="AZ36" s="47"/>
      <c r="BA36" s="47">
        <v>0.44</v>
      </c>
      <c r="BB36" s="47"/>
      <c r="BC36" s="47"/>
      <c r="BD36" s="47"/>
      <c r="BE36" s="47"/>
      <c r="BF36" s="47">
        <v>3.7374620969999999</v>
      </c>
      <c r="BG36" s="47"/>
      <c r="BH36" s="47"/>
      <c r="BI36" s="47">
        <v>1.0340002020000001</v>
      </c>
      <c r="BJ36" s="47"/>
      <c r="BK36" s="47">
        <v>-3.6075449000000002</v>
      </c>
      <c r="BL36" s="47"/>
      <c r="BM36" s="47"/>
    </row>
    <row r="37" spans="1:65" x14ac:dyDescent="0.2">
      <c r="A37" s="47" t="s">
        <v>81</v>
      </c>
      <c r="B37" s="53">
        <v>43409.779861111114</v>
      </c>
      <c r="C37" s="47" t="s">
        <v>69</v>
      </c>
      <c r="D37" s="47" t="s">
        <v>388</v>
      </c>
      <c r="E37" s="47" t="s">
        <v>70</v>
      </c>
      <c r="F37" s="53">
        <v>43402.436111111114</v>
      </c>
      <c r="G37" s="47">
        <v>-8.18</v>
      </c>
      <c r="H37" s="47">
        <v>0</v>
      </c>
      <c r="I37" s="47">
        <v>8</v>
      </c>
      <c r="J37" s="47">
        <v>0</v>
      </c>
      <c r="K37" s="47">
        <v>39.17</v>
      </c>
      <c r="L37" s="47">
        <v>0</v>
      </c>
      <c r="M37" s="47">
        <v>9.266</v>
      </c>
      <c r="N37" s="47">
        <v>1.7000000000000001E-2</v>
      </c>
      <c r="O37" s="47">
        <v>-0.379</v>
      </c>
      <c r="P37" s="47">
        <v>1.6E-2</v>
      </c>
      <c r="Q37" s="47">
        <v>27.495000000000001</v>
      </c>
      <c r="R37" s="47">
        <v>6.4000000000000001E-2</v>
      </c>
      <c r="S37" s="47">
        <v>-0.33</v>
      </c>
      <c r="T37" s="47">
        <v>6.4000000000000001E-2</v>
      </c>
      <c r="U37" s="47">
        <v>-164.779</v>
      </c>
      <c r="V37" s="47">
        <v>7.2930000000000001</v>
      </c>
      <c r="W37" s="47">
        <v>-183.73</v>
      </c>
      <c r="X37" s="47">
        <v>7.1260000000000003</v>
      </c>
      <c r="Y37" s="47">
        <v>-8.4373514279999992E-3</v>
      </c>
      <c r="Z37" s="47" t="s">
        <v>391</v>
      </c>
      <c r="AA37" s="47">
        <v>-0.30099999999999999</v>
      </c>
      <c r="AB37" s="47">
        <v>0.989407378</v>
      </c>
      <c r="AC37" s="47">
        <v>0.91947831260000001</v>
      </c>
      <c r="AD37" s="47">
        <v>0.622</v>
      </c>
      <c r="AE37" s="47">
        <v>0</v>
      </c>
      <c r="AF37" s="47">
        <v>-1.965637227E-2</v>
      </c>
      <c r="AG37" s="47" t="s">
        <v>392</v>
      </c>
      <c r="AH37" s="47">
        <v>0.21099999999999999</v>
      </c>
      <c r="AI37" s="47">
        <v>1.1712216639999999</v>
      </c>
      <c r="AJ37" s="47">
        <v>0.28313993599999998</v>
      </c>
      <c r="AK37" s="47">
        <v>0.53</v>
      </c>
      <c r="AL37" s="47">
        <v>0</v>
      </c>
      <c r="AM37" s="47">
        <v>-7.96</v>
      </c>
      <c r="AN37" s="47"/>
      <c r="AO37" s="47"/>
      <c r="AP37" s="47">
        <v>-0.09</v>
      </c>
      <c r="AQ37" s="47"/>
      <c r="AR37" s="47"/>
      <c r="AS37" s="47">
        <v>30.83</v>
      </c>
      <c r="AT37" s="47"/>
      <c r="AU37" s="47"/>
      <c r="AV37" s="47">
        <v>0.622</v>
      </c>
      <c r="AW37" s="47"/>
      <c r="AX37" s="47"/>
      <c r="AY37" s="47"/>
      <c r="AZ37" s="47"/>
      <c r="BA37" s="47">
        <v>0.53</v>
      </c>
      <c r="BB37" s="47"/>
      <c r="BC37" s="47"/>
      <c r="BD37" s="47"/>
      <c r="BE37" s="47"/>
      <c r="BF37" s="47">
        <v>15.894993980000001</v>
      </c>
      <c r="BG37" s="47"/>
      <c r="BH37" s="47"/>
      <c r="BI37" s="47">
        <v>1.0311955749999999</v>
      </c>
      <c r="BJ37" s="47"/>
      <c r="BK37" s="47">
        <v>-0.35451555579999999</v>
      </c>
      <c r="BL37" s="47"/>
      <c r="BM37" s="47"/>
    </row>
    <row r="38" spans="1:65" x14ac:dyDescent="0.2">
      <c r="A38" s="47" t="s">
        <v>89</v>
      </c>
      <c r="B38" s="53">
        <v>43410.765972222223</v>
      </c>
      <c r="C38" s="47" t="s">
        <v>69</v>
      </c>
      <c r="D38" s="47" t="s">
        <v>388</v>
      </c>
      <c r="E38" s="47" t="s">
        <v>70</v>
      </c>
      <c r="F38" s="53">
        <v>43410.25</v>
      </c>
      <c r="G38" s="47">
        <v>-9.49</v>
      </c>
      <c r="H38" s="47">
        <v>0</v>
      </c>
      <c r="I38" s="47">
        <v>8.19</v>
      </c>
      <c r="J38" s="47">
        <v>0</v>
      </c>
      <c r="K38" s="47">
        <v>39.36</v>
      </c>
      <c r="L38" s="47">
        <v>0</v>
      </c>
      <c r="M38" s="47">
        <v>8.1379999999999999</v>
      </c>
      <c r="N38" s="47">
        <v>1.2E-2</v>
      </c>
      <c r="O38" s="47">
        <v>-0.40699999999999997</v>
      </c>
      <c r="P38" s="47">
        <v>1.0999999999999999E-2</v>
      </c>
      <c r="Q38" s="47">
        <v>27.593</v>
      </c>
      <c r="R38" s="47">
        <v>6.6000000000000003E-2</v>
      </c>
      <c r="S38" s="47">
        <v>-0.59799999999999998</v>
      </c>
      <c r="T38" s="47">
        <v>6.3E-2</v>
      </c>
      <c r="U38" s="47">
        <v>-20.431000000000001</v>
      </c>
      <c r="V38" s="47">
        <v>2.9929999999999999</v>
      </c>
      <c r="W38" s="47">
        <v>-41.744</v>
      </c>
      <c r="X38" s="47">
        <v>2.9289999999999998</v>
      </c>
      <c r="Y38" s="47">
        <v>-9.6424924739999997E-3</v>
      </c>
      <c r="Z38" s="47" t="s">
        <v>393</v>
      </c>
      <c r="AA38" s="47">
        <v>-0.32900000000000001</v>
      </c>
      <c r="AB38" s="47">
        <v>1.013436472</v>
      </c>
      <c r="AC38" s="47">
        <v>0.92727682150000001</v>
      </c>
      <c r="AD38" s="47">
        <v>0.59399999999999997</v>
      </c>
      <c r="AE38" s="47">
        <v>0</v>
      </c>
      <c r="AF38" s="47">
        <v>-2.35846945E-2</v>
      </c>
      <c r="AG38" s="47" t="s">
        <v>394</v>
      </c>
      <c r="AH38" s="47">
        <v>5.2999999999999999E-2</v>
      </c>
      <c r="AI38" s="47">
        <v>0.91027428440000002</v>
      </c>
      <c r="AJ38" s="47">
        <v>0.32580981380000001</v>
      </c>
      <c r="AK38" s="47">
        <v>0.374</v>
      </c>
      <c r="AL38" s="47">
        <v>0</v>
      </c>
      <c r="AM38" s="47">
        <v>-9.26</v>
      </c>
      <c r="AN38" s="47"/>
      <c r="AO38" s="47"/>
      <c r="AP38" s="47">
        <v>0.11</v>
      </c>
      <c r="AQ38" s="47"/>
      <c r="AR38" s="47"/>
      <c r="AS38" s="47">
        <v>31.03</v>
      </c>
      <c r="AT38" s="47"/>
      <c r="AU38" s="47"/>
      <c r="AV38" s="47">
        <v>0.59399999999999997</v>
      </c>
      <c r="AW38" s="47"/>
      <c r="AX38" s="47"/>
      <c r="AY38" s="47"/>
      <c r="AZ38" s="47"/>
      <c r="BA38" s="47">
        <v>0.374</v>
      </c>
      <c r="BB38" s="47"/>
      <c r="BC38" s="47"/>
      <c r="BD38" s="47"/>
      <c r="BE38" s="47"/>
      <c r="BF38" s="47">
        <v>24.950044219999999</v>
      </c>
      <c r="BG38" s="47"/>
      <c r="BH38" s="47"/>
      <c r="BI38" s="47">
        <v>1.0292597590000001</v>
      </c>
      <c r="BJ38" s="47"/>
      <c r="BK38" s="47">
        <v>1.7199163079999999</v>
      </c>
      <c r="BL38" s="47"/>
      <c r="BM38" s="47"/>
    </row>
    <row r="39" spans="1:65" x14ac:dyDescent="0.2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</row>
    <row r="40" spans="1:65" s="52" customFormat="1" x14ac:dyDescent="0.2">
      <c r="A40" s="50" t="s">
        <v>395</v>
      </c>
      <c r="B40" s="49"/>
      <c r="C40" s="49"/>
      <c r="D40" s="49"/>
      <c r="E40" s="49"/>
      <c r="F40" s="49"/>
      <c r="G40" s="49"/>
      <c r="H40" s="50">
        <v>0.1560448653</v>
      </c>
      <c r="I40" s="49"/>
      <c r="J40" s="50">
        <v>0.18865312079999999</v>
      </c>
      <c r="K40" s="49"/>
      <c r="L40" s="50">
        <v>0.19505383870000001</v>
      </c>
      <c r="M40" s="49"/>
      <c r="N40" s="50">
        <v>0.78718733480000003</v>
      </c>
      <c r="O40" s="49"/>
      <c r="P40" s="50">
        <v>0.65333854930000002</v>
      </c>
      <c r="Q40" s="49"/>
      <c r="R40" s="50">
        <v>0.92048103729999997</v>
      </c>
      <c r="S40" s="49"/>
      <c r="T40" s="50">
        <v>0.77278783630000003</v>
      </c>
      <c r="U40" s="49"/>
      <c r="V40" s="50">
        <v>239.66628259999999</v>
      </c>
      <c r="W40" s="49"/>
      <c r="X40" s="50">
        <v>234.58566279999999</v>
      </c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50">
        <v>-9.5533333329999994</v>
      </c>
      <c r="AO40" s="50">
        <v>0.4042688874</v>
      </c>
      <c r="AP40" s="49"/>
      <c r="AQ40" s="50">
        <f>AVERAGE(AP41:AP43)</f>
        <v>3.333333333333327E-3</v>
      </c>
      <c r="AR40" s="50">
        <v>0.33231511149999998</v>
      </c>
      <c r="AS40" s="49"/>
      <c r="AT40" s="50">
        <v>30.926666669999999</v>
      </c>
      <c r="AU40" s="50">
        <v>0.3438507428</v>
      </c>
      <c r="AV40" s="49"/>
      <c r="AW40" s="50">
        <v>0.60299999999999998</v>
      </c>
      <c r="AX40" s="50">
        <v>4.0414518839999997E-3</v>
      </c>
      <c r="AY40" s="51">
        <v>7.0000000000000001E-3</v>
      </c>
      <c r="AZ40" s="51">
        <v>1.3650000000000001E-2</v>
      </c>
      <c r="BA40" s="49"/>
      <c r="BB40" s="50">
        <v>0.31866666669999999</v>
      </c>
      <c r="BC40" s="50">
        <v>5.4776312799999997E-2</v>
      </c>
      <c r="BD40" s="49"/>
      <c r="BE40" s="49"/>
      <c r="BF40" s="49"/>
      <c r="BG40" s="50">
        <v>21.965215499999999</v>
      </c>
      <c r="BH40" s="50">
        <v>1.3283183169999999</v>
      </c>
      <c r="BI40" s="49"/>
      <c r="BJ40" s="50">
        <v>1.055768153</v>
      </c>
      <c r="BK40" s="49"/>
      <c r="BL40" s="50">
        <f>AVERAGE(BK41:BK43)</f>
        <v>1.0096920281333333</v>
      </c>
      <c r="BM40" s="50">
        <f>STDEV(BK41:BK43)</f>
        <v>0.56751308370939479</v>
      </c>
    </row>
    <row r="41" spans="1:65" x14ac:dyDescent="0.2">
      <c r="A41" s="47" t="s">
        <v>89</v>
      </c>
      <c r="B41" s="53">
        <v>43410.853472222225</v>
      </c>
      <c r="C41" s="47" t="s">
        <v>69</v>
      </c>
      <c r="D41" s="47" t="s">
        <v>395</v>
      </c>
      <c r="E41" s="47" t="s">
        <v>70</v>
      </c>
      <c r="F41" s="53">
        <v>43410.25</v>
      </c>
      <c r="G41" s="47">
        <v>-10.26</v>
      </c>
      <c r="H41" s="47">
        <v>0</v>
      </c>
      <c r="I41" s="47">
        <v>7.7</v>
      </c>
      <c r="J41" s="47">
        <v>0</v>
      </c>
      <c r="K41" s="47">
        <v>38.85</v>
      </c>
      <c r="L41" s="47">
        <v>0</v>
      </c>
      <c r="M41" s="47">
        <v>6.9029999999999996</v>
      </c>
      <c r="N41" s="47">
        <v>1.2E-2</v>
      </c>
      <c r="O41" s="47">
        <v>-0.38700000000000001</v>
      </c>
      <c r="P41" s="47">
        <v>1.2E-2</v>
      </c>
      <c r="Q41" s="47">
        <v>26.666</v>
      </c>
      <c r="R41" s="47">
        <v>6.3E-2</v>
      </c>
      <c r="S41" s="47">
        <v>-0.51700000000000002</v>
      </c>
      <c r="T41" s="47">
        <v>6.2E-2</v>
      </c>
      <c r="U41" s="47">
        <v>-18.786000000000001</v>
      </c>
      <c r="V41" s="47">
        <v>3.431</v>
      </c>
      <c r="W41" s="47">
        <v>-38.448</v>
      </c>
      <c r="X41" s="47">
        <v>3.3610000000000002</v>
      </c>
      <c r="Y41" s="47">
        <v>-9.6424924739999997E-3</v>
      </c>
      <c r="Z41" s="47" t="s">
        <v>396</v>
      </c>
      <c r="AA41" s="47">
        <v>-0.32</v>
      </c>
      <c r="AB41" s="47">
        <v>1.013436472</v>
      </c>
      <c r="AC41" s="47">
        <v>0.92727682150000001</v>
      </c>
      <c r="AD41" s="47">
        <v>0.60299999999999998</v>
      </c>
      <c r="AE41" s="47">
        <v>0</v>
      </c>
      <c r="AF41" s="47">
        <v>-2.35846945E-2</v>
      </c>
      <c r="AG41" s="47" t="s">
        <v>397</v>
      </c>
      <c r="AH41" s="47">
        <v>0.112</v>
      </c>
      <c r="AI41" s="47">
        <v>0.91027428440000002</v>
      </c>
      <c r="AJ41" s="47">
        <v>0.32580981380000001</v>
      </c>
      <c r="AK41" s="47">
        <v>0.42799999999999999</v>
      </c>
      <c r="AL41" s="47">
        <v>0</v>
      </c>
      <c r="AM41" s="47">
        <v>-10.02</v>
      </c>
      <c r="AN41" s="47"/>
      <c r="AO41" s="47"/>
      <c r="AP41" s="47">
        <v>-0.38</v>
      </c>
      <c r="AQ41" s="47"/>
      <c r="AR41" s="47"/>
      <c r="AS41" s="47">
        <v>30.53</v>
      </c>
      <c r="AT41" s="47"/>
      <c r="AU41" s="47"/>
      <c r="AV41" s="47">
        <v>0.60299999999999998</v>
      </c>
      <c r="AW41" s="47"/>
      <c r="AX41" s="47"/>
      <c r="AY41" s="47"/>
      <c r="AZ41" s="47"/>
      <c r="BA41" s="47">
        <v>0.42799999999999999</v>
      </c>
      <c r="BB41" s="47"/>
      <c r="BC41" s="47"/>
      <c r="BD41" s="47"/>
      <c r="BE41" s="47"/>
      <c r="BF41" s="47">
        <v>21.947281159999999</v>
      </c>
      <c r="BG41" s="47"/>
      <c r="BH41" s="47"/>
      <c r="BI41" s="47">
        <v>1.0298881339999999</v>
      </c>
      <c r="BJ41" s="47"/>
      <c r="BK41" s="47">
        <v>0.62323826920000003</v>
      </c>
      <c r="BL41" s="47"/>
      <c r="BM41" s="47"/>
    </row>
    <row r="42" spans="1:65" x14ac:dyDescent="0.2">
      <c r="A42" s="47" t="s">
        <v>355</v>
      </c>
      <c r="B42" s="53">
        <v>43544.679861111108</v>
      </c>
      <c r="C42" s="47" t="s">
        <v>69</v>
      </c>
      <c r="D42" s="47" t="s">
        <v>395</v>
      </c>
      <c r="E42" s="47" t="s">
        <v>70</v>
      </c>
      <c r="F42" s="53">
        <v>43540.749305555553</v>
      </c>
      <c r="G42" s="47">
        <v>-9.4499999999999993</v>
      </c>
      <c r="H42" s="47">
        <v>0</v>
      </c>
      <c r="I42" s="47">
        <v>8.3000000000000007</v>
      </c>
      <c r="J42" s="47">
        <v>0</v>
      </c>
      <c r="K42" s="47">
        <v>39.479999999999997</v>
      </c>
      <c r="L42" s="47">
        <v>0</v>
      </c>
      <c r="M42" s="47">
        <v>8.3149999999999995</v>
      </c>
      <c r="N42" s="47">
        <v>1.2E-2</v>
      </c>
      <c r="O42" s="47">
        <v>-0.39100000000000001</v>
      </c>
      <c r="P42" s="47">
        <v>1.2E-2</v>
      </c>
      <c r="Q42" s="47">
        <v>27.302</v>
      </c>
      <c r="R42" s="47">
        <v>0.06</v>
      </c>
      <c r="S42" s="47">
        <v>-1.1060000000000001</v>
      </c>
      <c r="T42" s="47">
        <v>5.8000000000000003E-2</v>
      </c>
      <c r="U42" s="47">
        <v>18.940999999999999</v>
      </c>
      <c r="V42" s="47">
        <v>2.4620000000000002</v>
      </c>
      <c r="W42" s="47">
        <v>-3.4980000000000002</v>
      </c>
      <c r="X42" s="47">
        <v>2.4079999999999999</v>
      </c>
      <c r="Y42" s="47">
        <v>-9.5816022200000007E-3</v>
      </c>
      <c r="Z42" s="47" t="s">
        <v>398</v>
      </c>
      <c r="AA42" s="47">
        <v>-0.311</v>
      </c>
      <c r="AB42" s="47">
        <v>1.03974185</v>
      </c>
      <c r="AC42" s="47">
        <v>0.93291620939999997</v>
      </c>
      <c r="AD42" s="47">
        <v>0.61</v>
      </c>
      <c r="AE42" s="47">
        <v>0</v>
      </c>
      <c r="AF42" s="47">
        <v>-3.495502415E-2</v>
      </c>
      <c r="AG42" s="47" t="s">
        <v>399</v>
      </c>
      <c r="AH42" s="47">
        <v>-0.152</v>
      </c>
      <c r="AI42" s="47">
        <v>0.71035451940000005</v>
      </c>
      <c r="AJ42" s="47">
        <v>0.365642209</v>
      </c>
      <c r="AK42" s="47">
        <v>0.25800000000000001</v>
      </c>
      <c r="AL42" s="47">
        <v>0</v>
      </c>
      <c r="AM42" s="47">
        <v>-9.33</v>
      </c>
      <c r="AN42" s="47"/>
      <c r="AO42" s="47"/>
      <c r="AP42" s="47">
        <v>0.21</v>
      </c>
      <c r="AQ42" s="47"/>
      <c r="AR42" s="47"/>
      <c r="AS42" s="47">
        <v>31.14</v>
      </c>
      <c r="AT42" s="47"/>
      <c r="AU42" s="47"/>
      <c r="AV42" s="47">
        <v>0.61</v>
      </c>
      <c r="AW42" s="47"/>
      <c r="AX42" s="47"/>
      <c r="AY42" s="47"/>
      <c r="AZ42" s="47"/>
      <c r="BA42" s="47">
        <v>0.25800000000000001</v>
      </c>
      <c r="BB42" s="47"/>
      <c r="BC42" s="47"/>
      <c r="BD42" s="47"/>
      <c r="BE42" s="47"/>
      <c r="BF42" s="47">
        <v>19.673520289999999</v>
      </c>
      <c r="BG42" s="47"/>
      <c r="BH42" s="47"/>
      <c r="BI42" s="47">
        <v>1.0303727899999999</v>
      </c>
      <c r="BJ42" s="47"/>
      <c r="BK42" s="47">
        <v>0.74459454719999996</v>
      </c>
      <c r="BL42" s="47"/>
      <c r="BM42" s="47"/>
    </row>
    <row r="43" spans="1:65" x14ac:dyDescent="0.2">
      <c r="A43" s="47" t="s">
        <v>400</v>
      </c>
      <c r="B43" s="53">
        <v>43546.95208333333</v>
      </c>
      <c r="C43" s="47" t="s">
        <v>69</v>
      </c>
      <c r="D43" s="47" t="s">
        <v>395</v>
      </c>
      <c r="E43" s="47" t="s">
        <v>70</v>
      </c>
      <c r="F43" s="53">
        <v>43540.749305555553</v>
      </c>
      <c r="G43" s="47">
        <v>-9.44</v>
      </c>
      <c r="H43" s="47">
        <v>0</v>
      </c>
      <c r="I43" s="47">
        <v>8.27</v>
      </c>
      <c r="J43" s="47">
        <v>0</v>
      </c>
      <c r="K43" s="47">
        <v>39.450000000000003</v>
      </c>
      <c r="L43" s="47">
        <v>0</v>
      </c>
      <c r="M43" s="47">
        <v>8.2829999999999995</v>
      </c>
      <c r="N43" s="47">
        <v>1.4999999999999999E-2</v>
      </c>
      <c r="O43" s="47">
        <v>-0.40400000000000003</v>
      </c>
      <c r="P43" s="47">
        <v>1.4E-2</v>
      </c>
      <c r="Q43" s="47">
        <v>27.241</v>
      </c>
      <c r="R43" s="47">
        <v>6.6000000000000003E-2</v>
      </c>
      <c r="S43" s="47">
        <v>-1.1060000000000001</v>
      </c>
      <c r="T43" s="47">
        <v>6.5000000000000002E-2</v>
      </c>
      <c r="U43" s="47">
        <v>12.95</v>
      </c>
      <c r="V43" s="47">
        <v>4.0410000000000004</v>
      </c>
      <c r="W43" s="47">
        <v>-9.31</v>
      </c>
      <c r="X43" s="47">
        <v>3.9510000000000001</v>
      </c>
      <c r="Y43" s="47">
        <v>-9.6846946279999999E-3</v>
      </c>
      <c r="Z43" s="47" t="s">
        <v>401</v>
      </c>
      <c r="AA43" s="47">
        <v>-0.32400000000000001</v>
      </c>
      <c r="AB43" s="47">
        <v>1.0383540609999999</v>
      </c>
      <c r="AC43" s="47">
        <v>0.93247271210000005</v>
      </c>
      <c r="AD43" s="47">
        <v>0.59599999999999997</v>
      </c>
      <c r="AE43" s="47">
        <v>0</v>
      </c>
      <c r="AF43" s="47">
        <v>-3.5388455389999997E-2</v>
      </c>
      <c r="AG43" s="47" t="s">
        <v>402</v>
      </c>
      <c r="AH43" s="47">
        <v>-0.14199999999999999</v>
      </c>
      <c r="AI43" s="47">
        <v>0.74074916970000004</v>
      </c>
      <c r="AJ43" s="47">
        <v>0.37469125380000001</v>
      </c>
      <c r="AK43" s="47">
        <v>0.27</v>
      </c>
      <c r="AL43" s="47">
        <v>0</v>
      </c>
      <c r="AM43" s="47">
        <v>-9.31</v>
      </c>
      <c r="AN43" s="47"/>
      <c r="AO43" s="47"/>
      <c r="AP43" s="47">
        <v>0.18</v>
      </c>
      <c r="AQ43" s="47"/>
      <c r="AR43" s="47"/>
      <c r="AS43" s="47">
        <v>31.11</v>
      </c>
      <c r="AT43" s="47"/>
      <c r="AU43" s="47"/>
      <c r="AV43" s="47">
        <v>0.59599999999999997</v>
      </c>
      <c r="AW43" s="47"/>
      <c r="AX43" s="47"/>
      <c r="AY43" s="47"/>
      <c r="AZ43" s="47"/>
      <c r="BA43" s="47">
        <v>0.27</v>
      </c>
      <c r="BB43" s="47"/>
      <c r="BC43" s="47"/>
      <c r="BD43" s="47"/>
      <c r="BE43" s="47"/>
      <c r="BF43" s="47">
        <v>24.274845060000001</v>
      </c>
      <c r="BG43" s="47"/>
      <c r="BH43" s="47"/>
      <c r="BI43" s="47">
        <v>1.029399916</v>
      </c>
      <c r="BJ43" s="47"/>
      <c r="BK43" s="47">
        <v>1.661243268</v>
      </c>
      <c r="BL43" s="47"/>
      <c r="BM43" s="47"/>
    </row>
    <row r="44" spans="1:65" x14ac:dyDescent="0.2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</row>
    <row r="45" spans="1:65" s="52" customFormat="1" x14ac:dyDescent="0.2">
      <c r="A45" s="50" t="s">
        <v>403</v>
      </c>
      <c r="B45" s="49"/>
      <c r="C45" s="49"/>
      <c r="D45" s="49"/>
      <c r="E45" s="49"/>
      <c r="F45" s="49"/>
      <c r="G45" s="49"/>
      <c r="H45" s="50">
        <v>0.21059439690000001</v>
      </c>
      <c r="I45" s="49"/>
      <c r="J45" s="50">
        <v>0.14551288600000001</v>
      </c>
      <c r="K45" s="49"/>
      <c r="L45" s="50">
        <v>0.14924476540000001</v>
      </c>
      <c r="M45" s="49"/>
      <c r="N45" s="50">
        <v>0.24961842879999999</v>
      </c>
      <c r="O45" s="49"/>
      <c r="P45" s="50">
        <v>0.1233314234</v>
      </c>
      <c r="Q45" s="49"/>
      <c r="R45" s="50">
        <v>0.43702283689999999</v>
      </c>
      <c r="S45" s="49"/>
      <c r="T45" s="50">
        <v>0.41517008560000002</v>
      </c>
      <c r="U45" s="49"/>
      <c r="V45" s="50">
        <v>178.85303049999999</v>
      </c>
      <c r="W45" s="49"/>
      <c r="X45" s="50">
        <v>175.3210168</v>
      </c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50">
        <v>-10.45</v>
      </c>
      <c r="AO45" s="50">
        <v>0.55425625840000003</v>
      </c>
      <c r="AP45" s="49"/>
      <c r="AQ45" s="50">
        <f>AVERAGE(AP46:AP48)</f>
        <v>-0.25333333333333335</v>
      </c>
      <c r="AR45" s="50">
        <v>4.9328828620000001E-2</v>
      </c>
      <c r="AS45" s="49"/>
      <c r="AT45" s="50">
        <v>30.66</v>
      </c>
      <c r="AU45" s="50">
        <v>5.2915026220000001E-2</v>
      </c>
      <c r="AV45" s="49"/>
      <c r="AW45" s="50">
        <v>0.61033333329999995</v>
      </c>
      <c r="AX45" s="50">
        <v>4.1766546950000004E-3</v>
      </c>
      <c r="AY45" s="51">
        <v>7.2341781380000003E-3</v>
      </c>
      <c r="AZ45" s="51">
        <v>1.4106647369999999E-2</v>
      </c>
      <c r="BA45" s="49"/>
      <c r="BB45" s="50">
        <v>0.29499999999999998</v>
      </c>
      <c r="BC45" s="50">
        <v>3.3201405589999997E-2</v>
      </c>
      <c r="BD45" s="49"/>
      <c r="BE45" s="49"/>
      <c r="BF45" s="49"/>
      <c r="BG45" s="50">
        <v>19.585084299999998</v>
      </c>
      <c r="BH45" s="50">
        <v>1.3487772790000001</v>
      </c>
      <c r="BI45" s="49"/>
      <c r="BJ45" s="50">
        <v>1.0385642289999999</v>
      </c>
      <c r="BK45" s="49"/>
      <c r="BL45" s="50">
        <f>AVERAGE(BK46:BK48)</f>
        <v>0.25777177886333336</v>
      </c>
      <c r="BM45" s="50">
        <f>STDEV(BK46:BK48)</f>
        <v>0.43451542500909746</v>
      </c>
    </row>
    <row r="46" spans="1:65" x14ac:dyDescent="0.2">
      <c r="A46" s="47" t="s">
        <v>89</v>
      </c>
      <c r="B46" s="53">
        <v>43410.941666666666</v>
      </c>
      <c r="C46" s="47" t="s">
        <v>69</v>
      </c>
      <c r="D46" s="47" t="s">
        <v>403</v>
      </c>
      <c r="E46" s="47" t="s">
        <v>70</v>
      </c>
      <c r="F46" s="53">
        <v>43410.25</v>
      </c>
      <c r="G46" s="47">
        <v>-11.33</v>
      </c>
      <c r="H46" s="47">
        <v>0</v>
      </c>
      <c r="I46" s="47">
        <v>7.86</v>
      </c>
      <c r="J46" s="47">
        <v>0</v>
      </c>
      <c r="K46" s="47">
        <v>39.020000000000003</v>
      </c>
      <c r="L46" s="47">
        <v>0</v>
      </c>
      <c r="M46" s="47">
        <v>6.0350000000000001</v>
      </c>
      <c r="N46" s="47">
        <v>1.2999999999999999E-2</v>
      </c>
      <c r="O46" s="47">
        <v>-0.36599999999999999</v>
      </c>
      <c r="P46" s="47">
        <v>1.2999999999999999E-2</v>
      </c>
      <c r="Q46" s="47">
        <v>26.896999999999998</v>
      </c>
      <c r="R46" s="47">
        <v>5.1999999999999998E-2</v>
      </c>
      <c r="S46" s="47">
        <v>-0.60499999999999998</v>
      </c>
      <c r="T46" s="47">
        <v>0.05</v>
      </c>
      <c r="U46" s="47">
        <v>-14.215</v>
      </c>
      <c r="V46" s="47">
        <v>3.8559999999999999</v>
      </c>
      <c r="W46" s="47">
        <v>-33.231000000000002</v>
      </c>
      <c r="X46" s="47">
        <v>3.778</v>
      </c>
      <c r="Y46" s="47">
        <v>-9.6424924739999997E-3</v>
      </c>
      <c r="Z46" s="47" t="s">
        <v>404</v>
      </c>
      <c r="AA46" s="47">
        <v>-0.308</v>
      </c>
      <c r="AB46" s="47">
        <v>1.013436472</v>
      </c>
      <c r="AC46" s="47">
        <v>0.92727682150000001</v>
      </c>
      <c r="AD46" s="47">
        <v>0.61499999999999999</v>
      </c>
      <c r="AE46" s="47">
        <v>0</v>
      </c>
      <c r="AF46" s="47">
        <v>-2.35846945E-2</v>
      </c>
      <c r="AG46" s="47" t="s">
        <v>394</v>
      </c>
      <c r="AH46" s="47">
        <v>2.9000000000000001E-2</v>
      </c>
      <c r="AI46" s="47">
        <v>0.91027428440000002</v>
      </c>
      <c r="AJ46" s="47">
        <v>0.32580981380000001</v>
      </c>
      <c r="AK46" s="47">
        <v>0.35299999999999998</v>
      </c>
      <c r="AL46" s="47">
        <v>0</v>
      </c>
      <c r="AM46" s="47">
        <v>-11.09</v>
      </c>
      <c r="AN46" s="47"/>
      <c r="AO46" s="47"/>
      <c r="AP46" s="47">
        <v>-0.22</v>
      </c>
      <c r="AQ46" s="47"/>
      <c r="AR46" s="47"/>
      <c r="AS46" s="47">
        <v>30.7</v>
      </c>
      <c r="AT46" s="47"/>
      <c r="AU46" s="47"/>
      <c r="AV46" s="47">
        <v>0.61499999999999999</v>
      </c>
      <c r="AW46" s="47"/>
      <c r="AX46" s="47"/>
      <c r="AY46" s="47"/>
      <c r="AZ46" s="47"/>
      <c r="BA46" s="47">
        <v>0.35299999999999998</v>
      </c>
      <c r="BB46" s="47"/>
      <c r="BC46" s="47"/>
      <c r="BD46" s="47"/>
      <c r="BE46" s="47"/>
      <c r="BF46" s="47">
        <v>18.081210930000001</v>
      </c>
      <c r="BG46" s="47"/>
      <c r="BH46" s="47"/>
      <c r="BI46" s="47">
        <v>1.0307168369999999</v>
      </c>
      <c r="BJ46" s="47"/>
      <c r="BK46" s="47">
        <v>-1.6335417979999999E-2</v>
      </c>
      <c r="BL46" s="47"/>
      <c r="BM46" s="47"/>
    </row>
    <row r="47" spans="1:65" x14ac:dyDescent="0.2">
      <c r="A47" s="47" t="s">
        <v>355</v>
      </c>
      <c r="B47" s="53">
        <v>43544.76666666667</v>
      </c>
      <c r="C47" s="47" t="s">
        <v>69</v>
      </c>
      <c r="D47" s="47" t="s">
        <v>403</v>
      </c>
      <c r="E47" s="47" t="s">
        <v>70</v>
      </c>
      <c r="F47" s="53">
        <v>43540.749305555553</v>
      </c>
      <c r="G47" s="47">
        <v>-10.25</v>
      </c>
      <c r="H47" s="47">
        <v>0</v>
      </c>
      <c r="I47" s="47">
        <v>7.86</v>
      </c>
      <c r="J47" s="47">
        <v>0</v>
      </c>
      <c r="K47" s="47">
        <v>39.020000000000003</v>
      </c>
      <c r="L47" s="47">
        <v>0</v>
      </c>
      <c r="M47" s="47">
        <v>7.093</v>
      </c>
      <c r="N47" s="47">
        <v>1.4999999999999999E-2</v>
      </c>
      <c r="O47" s="47">
        <v>-0.375</v>
      </c>
      <c r="P47" s="47">
        <v>1.2999999999999999E-2</v>
      </c>
      <c r="Q47" s="47">
        <v>26.475000000000001</v>
      </c>
      <c r="R47" s="47">
        <v>0.05</v>
      </c>
      <c r="S47" s="47">
        <v>-1.026</v>
      </c>
      <c r="T47" s="47">
        <v>0.05</v>
      </c>
      <c r="U47" s="47">
        <v>20.978000000000002</v>
      </c>
      <c r="V47" s="47">
        <v>4.2210000000000001</v>
      </c>
      <c r="W47" s="47">
        <v>0.182</v>
      </c>
      <c r="X47" s="47">
        <v>4.1360000000000001</v>
      </c>
      <c r="Y47" s="47">
        <v>-9.5816022200000007E-3</v>
      </c>
      <c r="Z47" s="47" t="s">
        <v>405</v>
      </c>
      <c r="AA47" s="47">
        <v>-0.307</v>
      </c>
      <c r="AB47" s="47">
        <v>1.03974185</v>
      </c>
      <c r="AC47" s="47">
        <v>0.93291620939999997</v>
      </c>
      <c r="AD47" s="47">
        <v>0.61399999999999999</v>
      </c>
      <c r="AE47" s="47">
        <v>0</v>
      </c>
      <c r="AF47" s="47">
        <v>-3.495502415E-2</v>
      </c>
      <c r="AG47" s="47" t="s">
        <v>406</v>
      </c>
      <c r="AH47" s="47">
        <v>-0.1</v>
      </c>
      <c r="AI47" s="47">
        <v>0.71035451940000005</v>
      </c>
      <c r="AJ47" s="47">
        <v>0.365642209</v>
      </c>
      <c r="AK47" s="47">
        <v>0.29399999999999998</v>
      </c>
      <c r="AL47" s="47">
        <v>0</v>
      </c>
      <c r="AM47" s="47">
        <v>-10.130000000000001</v>
      </c>
      <c r="AN47" s="47"/>
      <c r="AO47" s="47"/>
      <c r="AP47" s="47">
        <v>-0.23</v>
      </c>
      <c r="AQ47" s="47"/>
      <c r="AR47" s="47"/>
      <c r="AS47" s="47">
        <v>30.68</v>
      </c>
      <c r="AT47" s="47"/>
      <c r="AU47" s="47"/>
      <c r="AV47" s="47">
        <v>0.61399999999999999</v>
      </c>
      <c r="AW47" s="47"/>
      <c r="AX47" s="47"/>
      <c r="AY47" s="47"/>
      <c r="AZ47" s="47"/>
      <c r="BA47" s="47">
        <v>0.29399999999999998</v>
      </c>
      <c r="BB47" s="47"/>
      <c r="BC47" s="47"/>
      <c r="BD47" s="47"/>
      <c r="BE47" s="47"/>
      <c r="BF47" s="47">
        <v>18.397594739999999</v>
      </c>
      <c r="BG47" s="47"/>
      <c r="BH47" s="47"/>
      <c r="BI47" s="47">
        <v>1.0306481679999999</v>
      </c>
      <c r="BJ47" s="47"/>
      <c r="BK47" s="47">
        <v>3.088501397E-2</v>
      </c>
      <c r="BL47" s="47"/>
      <c r="BM47" s="47"/>
    </row>
    <row r="48" spans="1:65" x14ac:dyDescent="0.2">
      <c r="A48" s="47" t="s">
        <v>400</v>
      </c>
      <c r="B48" s="53">
        <v>43549.843055555553</v>
      </c>
      <c r="C48" s="47" t="s">
        <v>69</v>
      </c>
      <c r="D48" s="47" t="s">
        <v>403</v>
      </c>
      <c r="E48" s="47" t="s">
        <v>70</v>
      </c>
      <c r="F48" s="53">
        <v>43540.749305555553</v>
      </c>
      <c r="G48" s="47">
        <v>-10.24</v>
      </c>
      <c r="H48" s="47">
        <v>0</v>
      </c>
      <c r="I48" s="47">
        <v>7.78</v>
      </c>
      <c r="J48" s="47">
        <v>0</v>
      </c>
      <c r="K48" s="47">
        <v>38.94</v>
      </c>
      <c r="L48" s="47">
        <v>0</v>
      </c>
      <c r="M48" s="47">
        <v>7.0049999999999999</v>
      </c>
      <c r="N48" s="47">
        <v>1.2999999999999999E-2</v>
      </c>
      <c r="O48" s="47">
        <v>-0.38800000000000001</v>
      </c>
      <c r="P48" s="47">
        <v>1.2999999999999999E-2</v>
      </c>
      <c r="Q48" s="47">
        <v>26.234999999999999</v>
      </c>
      <c r="R48" s="47">
        <v>7.0999999999999994E-2</v>
      </c>
      <c r="S48" s="47">
        <v>-1.107</v>
      </c>
      <c r="T48" s="47">
        <v>6.9000000000000006E-2</v>
      </c>
      <c r="U48" s="47">
        <v>19.559999999999999</v>
      </c>
      <c r="V48" s="47">
        <v>2.25</v>
      </c>
      <c r="W48" s="47">
        <v>-1.0580000000000001</v>
      </c>
      <c r="X48" s="47">
        <v>2.2040000000000002</v>
      </c>
      <c r="Y48" s="47">
        <v>-9.6584130460000001E-3</v>
      </c>
      <c r="Z48" s="47" t="s">
        <v>407</v>
      </c>
      <c r="AA48" s="47">
        <v>-0.32</v>
      </c>
      <c r="AB48" s="47">
        <v>1.04478823</v>
      </c>
      <c r="AC48" s="47">
        <v>0.93677524469999995</v>
      </c>
      <c r="AD48" s="47">
        <v>0.60199999999999998</v>
      </c>
      <c r="AE48" s="47">
        <v>0</v>
      </c>
      <c r="AF48" s="47">
        <v>-3.5068121369999997E-2</v>
      </c>
      <c r="AG48" s="47" t="s">
        <v>408</v>
      </c>
      <c r="AH48" s="47">
        <v>-0.187</v>
      </c>
      <c r="AI48" s="47">
        <v>0.6635244414</v>
      </c>
      <c r="AJ48" s="47">
        <v>0.36260971510000001</v>
      </c>
      <c r="AK48" s="47">
        <v>0.23799999999999999</v>
      </c>
      <c r="AL48" s="47">
        <v>0</v>
      </c>
      <c r="AM48" s="47">
        <v>-10.130000000000001</v>
      </c>
      <c r="AN48" s="47"/>
      <c r="AO48" s="47"/>
      <c r="AP48" s="47">
        <v>-0.31</v>
      </c>
      <c r="AQ48" s="47"/>
      <c r="AR48" s="47"/>
      <c r="AS48" s="47">
        <v>30.6</v>
      </c>
      <c r="AT48" s="47"/>
      <c r="AU48" s="47"/>
      <c r="AV48" s="47">
        <v>0.60199999999999998</v>
      </c>
      <c r="AW48" s="47"/>
      <c r="AX48" s="47"/>
      <c r="AY48" s="47"/>
      <c r="AZ48" s="47"/>
      <c r="BA48" s="47">
        <v>0.23799999999999999</v>
      </c>
      <c r="BB48" s="47"/>
      <c r="BC48" s="47"/>
      <c r="BD48" s="47"/>
      <c r="BE48" s="47"/>
      <c r="BF48" s="47">
        <v>22.276447220000001</v>
      </c>
      <c r="BG48" s="47"/>
      <c r="BH48" s="47"/>
      <c r="BI48" s="47">
        <v>1.0298186090000001</v>
      </c>
      <c r="BJ48" s="47"/>
      <c r="BK48" s="47">
        <v>0.75876574060000002</v>
      </c>
      <c r="BL48" s="47"/>
      <c r="BM48" s="47"/>
    </row>
    <row r="49" spans="1:65" x14ac:dyDescent="0.2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</row>
    <row r="50" spans="1:65" s="52" customFormat="1" x14ac:dyDescent="0.2">
      <c r="A50" s="50" t="s">
        <v>409</v>
      </c>
      <c r="B50" s="49"/>
      <c r="C50" s="49"/>
      <c r="D50" s="49"/>
      <c r="E50" s="49"/>
      <c r="F50" s="49"/>
      <c r="G50" s="49"/>
      <c r="H50" s="50">
        <v>3.1983068439999998E-2</v>
      </c>
      <c r="I50" s="49"/>
      <c r="J50" s="50">
        <v>0.30428536499999997</v>
      </c>
      <c r="K50" s="49"/>
      <c r="L50" s="50">
        <v>0.31428158820000002</v>
      </c>
      <c r="M50" s="49"/>
      <c r="N50" s="50">
        <v>0.53316148269999997</v>
      </c>
      <c r="O50" s="49"/>
      <c r="P50" s="50">
        <v>0.34061158229999999</v>
      </c>
      <c r="Q50" s="49"/>
      <c r="R50" s="50">
        <v>19.011575090000001</v>
      </c>
      <c r="S50" s="49"/>
      <c r="T50" s="50">
        <v>18.270504679999998</v>
      </c>
      <c r="U50" s="49"/>
      <c r="V50" s="50">
        <v>23123.14544</v>
      </c>
      <c r="W50" s="49"/>
      <c r="X50" s="50">
        <v>22608.717710000001</v>
      </c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50">
        <v>-9.9499999999999993</v>
      </c>
      <c r="AO50" s="50">
        <v>0.02</v>
      </c>
      <c r="AP50" s="49"/>
      <c r="AQ50" s="50">
        <f>AVERAGE(AP51:AP53)</f>
        <v>0.21666666666666667</v>
      </c>
      <c r="AR50" s="50">
        <v>0.17387735139999999</v>
      </c>
      <c r="AS50" s="49"/>
      <c r="AT50" s="50">
        <v>31.143333330000001</v>
      </c>
      <c r="AU50" s="50">
        <v>0.1795364401</v>
      </c>
      <c r="AV50" s="49"/>
      <c r="AW50" s="50">
        <v>0.62566666670000004</v>
      </c>
      <c r="AX50" s="50">
        <v>1.09138037E-2</v>
      </c>
      <c r="AY50" s="51">
        <v>1.8903262510000001E-2</v>
      </c>
      <c r="AZ50" s="51">
        <v>3.6861361879999999E-2</v>
      </c>
      <c r="BA50" s="49"/>
      <c r="BB50" s="50">
        <v>0.20933333330000001</v>
      </c>
      <c r="BC50" s="50">
        <v>2.387699963E-2</v>
      </c>
      <c r="BD50" s="49"/>
      <c r="BE50" s="49"/>
      <c r="BF50" s="49"/>
      <c r="BG50" s="50">
        <v>14.88326371</v>
      </c>
      <c r="BH50" s="50">
        <v>3.2881148250000001</v>
      </c>
      <c r="BI50" s="49"/>
      <c r="BJ50" s="50">
        <v>1.0482151280000001</v>
      </c>
      <c r="BK50" s="49"/>
      <c r="BL50" s="50">
        <f>AVERAGE(BK51:BK53)</f>
        <v>-0.28383912893333335</v>
      </c>
      <c r="BM50" s="50">
        <f>STDEV(BK51:BK53)</f>
        <v>1.1028468273839458</v>
      </c>
    </row>
    <row r="51" spans="1:65" x14ac:dyDescent="0.2">
      <c r="A51" s="47" t="s">
        <v>81</v>
      </c>
      <c r="B51" s="53">
        <v>43253.823611111111</v>
      </c>
      <c r="C51" s="47" t="s">
        <v>69</v>
      </c>
      <c r="D51" s="47" t="s">
        <v>409</v>
      </c>
      <c r="E51" s="47" t="s">
        <v>70</v>
      </c>
      <c r="F51" s="53">
        <v>43243.041666666664</v>
      </c>
      <c r="G51" s="47">
        <v>-9.99</v>
      </c>
      <c r="H51" s="47">
        <v>0</v>
      </c>
      <c r="I51" s="47">
        <v>8.73</v>
      </c>
      <c r="J51" s="47">
        <v>0</v>
      </c>
      <c r="K51" s="47">
        <v>39.92</v>
      </c>
      <c r="L51" s="47">
        <v>0</v>
      </c>
      <c r="M51" s="47">
        <v>8.2159999999999993</v>
      </c>
      <c r="N51" s="47">
        <v>0.01</v>
      </c>
      <c r="O51" s="47">
        <v>-0.39300000000000002</v>
      </c>
      <c r="P51" s="47">
        <v>8.9999999999999993E-3</v>
      </c>
      <c r="Q51" s="47">
        <v>28.667999999999999</v>
      </c>
      <c r="R51" s="47">
        <v>3.5999999999999997E-2</v>
      </c>
      <c r="S51" s="47">
        <v>-0.625</v>
      </c>
      <c r="T51" s="47">
        <v>3.6999999999999998E-2</v>
      </c>
      <c r="U51" s="47">
        <v>-17.058</v>
      </c>
      <c r="V51" s="47">
        <v>3.0880000000000001</v>
      </c>
      <c r="W51" s="47">
        <v>-38.994999999999997</v>
      </c>
      <c r="X51" s="47">
        <v>3.02</v>
      </c>
      <c r="Y51" s="47">
        <v>-9.6632513749999992E-3</v>
      </c>
      <c r="Z51" s="47" t="s">
        <v>410</v>
      </c>
      <c r="AA51" s="47">
        <v>-0.314</v>
      </c>
      <c r="AB51" s="47">
        <v>1.0630691640000001</v>
      </c>
      <c r="AC51" s="47">
        <v>0.95223625249999999</v>
      </c>
      <c r="AD51" s="47">
        <v>0.61899999999999999</v>
      </c>
      <c r="AE51" s="47">
        <v>0</v>
      </c>
      <c r="AF51" s="47">
        <v>-1.637634835E-2</v>
      </c>
      <c r="AG51" s="47" t="s">
        <v>411</v>
      </c>
      <c r="AH51" s="47">
        <v>-0.155</v>
      </c>
      <c r="AI51" s="47">
        <v>1.3072849230000001</v>
      </c>
      <c r="AJ51" s="47">
        <v>0.38582342749999998</v>
      </c>
      <c r="AK51" s="47">
        <v>0.183</v>
      </c>
      <c r="AL51" s="47">
        <v>0</v>
      </c>
      <c r="AM51" s="47">
        <v>-9.9700000000000006</v>
      </c>
      <c r="AN51" s="47"/>
      <c r="AO51" s="47"/>
      <c r="AP51" s="47">
        <v>0.28000000000000003</v>
      </c>
      <c r="AQ51" s="47"/>
      <c r="AR51" s="47"/>
      <c r="AS51" s="47">
        <v>31.21</v>
      </c>
      <c r="AT51" s="47"/>
      <c r="AU51" s="47"/>
      <c r="AV51" s="47">
        <v>0.61899999999999999</v>
      </c>
      <c r="AW51" s="47"/>
      <c r="AX51" s="47"/>
      <c r="AY51" s="47"/>
      <c r="AZ51" s="47"/>
      <c r="BA51" s="47">
        <v>0.183</v>
      </c>
      <c r="BB51" s="47"/>
      <c r="BC51" s="47"/>
      <c r="BD51" s="47"/>
      <c r="BE51" s="47"/>
      <c r="BF51" s="47">
        <v>16.82589815</v>
      </c>
      <c r="BG51" s="47"/>
      <c r="BH51" s="47"/>
      <c r="BI51" s="47">
        <v>1.0309908160000001</v>
      </c>
      <c r="BJ51" s="47"/>
      <c r="BK51" s="47">
        <v>0.2125956396</v>
      </c>
      <c r="BL51" s="47"/>
      <c r="BM51" s="47"/>
    </row>
    <row r="52" spans="1:65" x14ac:dyDescent="0.2">
      <c r="A52" s="47" t="s">
        <v>89</v>
      </c>
      <c r="B52" s="53">
        <v>43288.003472222219</v>
      </c>
      <c r="C52" s="47" t="s">
        <v>69</v>
      </c>
      <c r="D52" s="47" t="s">
        <v>409</v>
      </c>
      <c r="E52" s="47" t="s">
        <v>70</v>
      </c>
      <c r="F52" s="53">
        <v>43243.041666666664</v>
      </c>
      <c r="G52" s="47">
        <v>-9.98</v>
      </c>
      <c r="H52" s="47">
        <v>0</v>
      </c>
      <c r="I52" s="47">
        <v>8.76</v>
      </c>
      <c r="J52" s="47">
        <v>0</v>
      </c>
      <c r="K52" s="47">
        <v>39.950000000000003</v>
      </c>
      <c r="L52" s="47">
        <v>0</v>
      </c>
      <c r="M52" s="47">
        <v>8.2810000000000006</v>
      </c>
      <c r="N52" s="47">
        <v>1.4999999999999999E-2</v>
      </c>
      <c r="O52" s="47">
        <v>-0.36699999999999999</v>
      </c>
      <c r="P52" s="47">
        <v>1.4999999999999999E-2</v>
      </c>
      <c r="Q52" s="47">
        <v>28.666</v>
      </c>
      <c r="R52" s="47">
        <v>3.2000000000000001E-2</v>
      </c>
      <c r="S52" s="47">
        <v>-0.68</v>
      </c>
      <c r="T52" s="47">
        <v>3.4000000000000002E-2</v>
      </c>
      <c r="U52" s="47">
        <v>-18.053999999999998</v>
      </c>
      <c r="V52" s="47">
        <v>2.226</v>
      </c>
      <c r="W52" s="47">
        <v>-40.030999999999999</v>
      </c>
      <c r="X52" s="47">
        <v>2.1749999999999998</v>
      </c>
      <c r="Y52" s="47">
        <v>-9.6162065980000006E-3</v>
      </c>
      <c r="Z52" s="47" t="s">
        <v>412</v>
      </c>
      <c r="AA52" s="47">
        <v>-0.28699999999999998</v>
      </c>
      <c r="AB52" s="47">
        <v>1.0578407889999999</v>
      </c>
      <c r="AC52" s="47">
        <v>0.95030488790000001</v>
      </c>
      <c r="AD52" s="47">
        <v>0.64700000000000002</v>
      </c>
      <c r="AE52" s="47">
        <v>0</v>
      </c>
      <c r="AF52" s="47">
        <v>-2.4692922329999999E-2</v>
      </c>
      <c r="AG52" s="47" t="s">
        <v>413</v>
      </c>
      <c r="AH52" s="47">
        <v>2.8000000000000001E-2</v>
      </c>
      <c r="AI52" s="47">
        <v>1.297374858</v>
      </c>
      <c r="AJ52" s="47">
        <v>0.22023111079999999</v>
      </c>
      <c r="AK52" s="47">
        <v>0.25700000000000001</v>
      </c>
      <c r="AL52" s="47">
        <v>0</v>
      </c>
      <c r="AM52" s="47">
        <v>-9.9499999999999993</v>
      </c>
      <c r="AN52" s="47"/>
      <c r="AO52" s="47"/>
      <c r="AP52" s="47">
        <v>0.35</v>
      </c>
      <c r="AQ52" s="47"/>
      <c r="AR52" s="47"/>
      <c r="AS52" s="47">
        <v>31.28</v>
      </c>
      <c r="AT52" s="47"/>
      <c r="AU52" s="47"/>
      <c r="AV52" s="47">
        <v>0.64700000000000002</v>
      </c>
      <c r="AW52" s="47"/>
      <c r="AX52" s="47"/>
      <c r="AY52" s="47"/>
      <c r="AZ52" s="47"/>
      <c r="BA52" s="47">
        <v>0.25700000000000001</v>
      </c>
      <c r="BB52" s="47"/>
      <c r="BC52" s="47"/>
      <c r="BD52" s="47"/>
      <c r="BE52" s="47"/>
      <c r="BF52" s="47">
        <v>8.4709239879999991</v>
      </c>
      <c r="BG52" s="47"/>
      <c r="BH52" s="47"/>
      <c r="BI52" s="47">
        <v>1.032878537</v>
      </c>
      <c r="BJ52" s="47"/>
      <c r="BK52" s="47">
        <v>-1.5476526509999999</v>
      </c>
      <c r="BL52" s="47"/>
      <c r="BM52" s="47"/>
    </row>
    <row r="53" spans="1:65" x14ac:dyDescent="0.2">
      <c r="A53" s="47" t="s">
        <v>355</v>
      </c>
      <c r="B53" s="53">
        <v>43388.71597222222</v>
      </c>
      <c r="C53" s="47" t="s">
        <v>69</v>
      </c>
      <c r="D53" s="47" t="s">
        <v>409</v>
      </c>
      <c r="E53" s="47" t="s">
        <v>70</v>
      </c>
      <c r="F53" s="53">
        <v>43387.808333333334</v>
      </c>
      <c r="G53" s="47">
        <v>-10.119999999999999</v>
      </c>
      <c r="H53" s="47">
        <v>0</v>
      </c>
      <c r="I53" s="47">
        <v>7.52</v>
      </c>
      <c r="J53" s="47">
        <v>0</v>
      </c>
      <c r="K53" s="47">
        <v>38.67</v>
      </c>
      <c r="L53" s="47">
        <v>0</v>
      </c>
      <c r="M53" s="47">
        <v>6.9619999999999997</v>
      </c>
      <c r="N53" s="47">
        <v>6.0000000000000001E-3</v>
      </c>
      <c r="O53" s="47">
        <v>-0.28499999999999998</v>
      </c>
      <c r="P53" s="47">
        <v>6.0000000000000001E-3</v>
      </c>
      <c r="Q53" s="47">
        <v>26.140999999999998</v>
      </c>
      <c r="R53" s="47">
        <v>3.2000000000000001E-2</v>
      </c>
      <c r="S53" s="47">
        <v>-0.68100000000000005</v>
      </c>
      <c r="T53" s="47">
        <v>3.5999999999999997E-2</v>
      </c>
      <c r="U53" s="47">
        <v>-135.43199999999999</v>
      </c>
      <c r="V53" s="47">
        <v>31.539000000000001</v>
      </c>
      <c r="W53" s="47">
        <v>-152.58000000000001</v>
      </c>
      <c r="X53" s="47">
        <v>30.911999999999999</v>
      </c>
      <c r="Y53" s="47">
        <v>-1.0009514319999999E-2</v>
      </c>
      <c r="Z53" s="47" t="s">
        <v>414</v>
      </c>
      <c r="AA53" s="47">
        <v>-0.216</v>
      </c>
      <c r="AB53" s="47">
        <v>1.1243344280000001</v>
      </c>
      <c r="AC53" s="47">
        <v>0.8533245908</v>
      </c>
      <c r="AD53" s="47">
        <v>0.61099999999999999</v>
      </c>
      <c r="AE53" s="47">
        <v>0</v>
      </c>
      <c r="AF53" s="47">
        <v>-2.1643116840000001E-2</v>
      </c>
      <c r="AG53" s="47" t="s">
        <v>415</v>
      </c>
      <c r="AH53" s="47">
        <v>-0.115</v>
      </c>
      <c r="AI53" s="47">
        <v>0.78606619580000003</v>
      </c>
      <c r="AJ53" s="47">
        <v>0.27819339920000002</v>
      </c>
      <c r="AK53" s="47">
        <v>0.188</v>
      </c>
      <c r="AL53" s="47">
        <v>0</v>
      </c>
      <c r="AM53" s="47">
        <v>-9.93</v>
      </c>
      <c r="AN53" s="47"/>
      <c r="AO53" s="47"/>
      <c r="AP53" s="47">
        <v>0.02</v>
      </c>
      <c r="AQ53" s="47"/>
      <c r="AR53" s="47"/>
      <c r="AS53" s="47">
        <v>30.94</v>
      </c>
      <c r="AT53" s="47"/>
      <c r="AU53" s="47"/>
      <c r="AV53" s="47">
        <v>0.61099999999999999</v>
      </c>
      <c r="AW53" s="47"/>
      <c r="AX53" s="47"/>
      <c r="AY53" s="47"/>
      <c r="AZ53" s="47"/>
      <c r="BA53" s="47">
        <v>0.188</v>
      </c>
      <c r="BB53" s="47"/>
      <c r="BC53" s="47"/>
      <c r="BD53" s="47"/>
      <c r="BE53" s="47"/>
      <c r="BF53" s="47">
        <v>19.352969000000002</v>
      </c>
      <c r="BG53" s="47"/>
      <c r="BH53" s="47"/>
      <c r="BI53" s="47">
        <v>1.030441741</v>
      </c>
      <c r="BJ53" s="47"/>
      <c r="BK53" s="47">
        <v>0.4835396246</v>
      </c>
      <c r="BL53" s="47"/>
      <c r="BM53" s="47"/>
    </row>
    <row r="54" spans="1:65" x14ac:dyDescent="0.2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</row>
    <row r="55" spans="1:65" s="52" customFormat="1" x14ac:dyDescent="0.2">
      <c r="A55" s="50" t="s">
        <v>416</v>
      </c>
      <c r="B55" s="49"/>
      <c r="C55" s="49"/>
      <c r="D55" s="49"/>
      <c r="E55" s="49"/>
      <c r="F55" s="49"/>
      <c r="G55" s="49"/>
      <c r="H55" s="50">
        <v>3.4801021699999997E-2</v>
      </c>
      <c r="I55" s="49"/>
      <c r="J55" s="50">
        <v>0.37176754979999999</v>
      </c>
      <c r="K55" s="49"/>
      <c r="L55" s="50">
        <v>0.38509739030000001</v>
      </c>
      <c r="M55" s="49"/>
      <c r="N55" s="50">
        <v>0.36689553460000002</v>
      </c>
      <c r="O55" s="49"/>
      <c r="P55" s="50">
        <v>4.3879886559999998E-2</v>
      </c>
      <c r="Q55" s="49"/>
      <c r="R55" s="50">
        <v>0.76039668010000006</v>
      </c>
      <c r="S55" s="49"/>
      <c r="T55" s="50">
        <v>7.0000000000000001E-3</v>
      </c>
      <c r="U55" s="49"/>
      <c r="V55" s="50">
        <v>95.587516239999999</v>
      </c>
      <c r="W55" s="49"/>
      <c r="X55" s="50">
        <v>92.857501900000003</v>
      </c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50">
        <v>-7.8333333329999997</v>
      </c>
      <c r="AO55" s="50">
        <v>5.507570547E-2</v>
      </c>
      <c r="AP55" s="49"/>
      <c r="AQ55" s="50">
        <f>AVERAGE(AP56:AP58)</f>
        <v>-0.46333333333333337</v>
      </c>
      <c r="AR55" s="50">
        <v>0.16165807539999999</v>
      </c>
      <c r="AS55" s="49"/>
      <c r="AT55" s="50">
        <v>30.443333330000002</v>
      </c>
      <c r="AU55" s="50">
        <v>0.16743157810000001</v>
      </c>
      <c r="AV55" s="49"/>
      <c r="AW55" s="50">
        <v>0.57366666669999999</v>
      </c>
      <c r="AX55" s="50">
        <v>1.2991450179999999E-2</v>
      </c>
      <c r="AY55" s="51">
        <v>2.2501851779999998E-2</v>
      </c>
      <c r="AZ55" s="51">
        <v>4.3878610960000002E-2</v>
      </c>
      <c r="BA55" s="49"/>
      <c r="BB55" s="50">
        <v>0.1673333333</v>
      </c>
      <c r="BC55" s="50">
        <v>4.7192278089999998E-2</v>
      </c>
      <c r="BD55" s="49"/>
      <c r="BE55" s="49"/>
      <c r="BF55" s="49"/>
      <c r="BG55" s="50">
        <v>32.311185479999999</v>
      </c>
      <c r="BH55" s="50">
        <v>4.8315180270000004</v>
      </c>
      <c r="BI55" s="49"/>
      <c r="BJ55" s="50">
        <v>1.0278036699999999</v>
      </c>
      <c r="BK55" s="49"/>
      <c r="BL55" s="50">
        <f>AVERAGE(BK56:BK58)</f>
        <v>2.5699913976666666</v>
      </c>
      <c r="BM55" s="50">
        <f>STDEV(BK56:BK58)</f>
        <v>1.6527290050478645</v>
      </c>
    </row>
    <row r="56" spans="1:65" x14ac:dyDescent="0.2">
      <c r="A56" s="47" t="s">
        <v>67</v>
      </c>
      <c r="B56" s="53">
        <v>43254.01458333333</v>
      </c>
      <c r="C56" s="47" t="s">
        <v>69</v>
      </c>
      <c r="D56" s="47" t="s">
        <v>416</v>
      </c>
      <c r="E56" s="47" t="s">
        <v>70</v>
      </c>
      <c r="F56" s="53">
        <v>43243.041666666664</v>
      </c>
      <c r="G56" s="47">
        <v>-7.86</v>
      </c>
      <c r="H56" s="47">
        <v>0</v>
      </c>
      <c r="I56" s="47">
        <v>8.07</v>
      </c>
      <c r="J56" s="47">
        <v>0</v>
      </c>
      <c r="K56" s="47">
        <v>39.24</v>
      </c>
      <c r="L56" s="47">
        <v>0</v>
      </c>
      <c r="M56" s="47">
        <v>9.56</v>
      </c>
      <c r="N56" s="47">
        <v>0.01</v>
      </c>
      <c r="O56" s="47">
        <v>-0.47199999999999998</v>
      </c>
      <c r="P56" s="47">
        <v>1.0999999999999999E-2</v>
      </c>
      <c r="Q56" s="47">
        <v>27.274999999999999</v>
      </c>
      <c r="R56" s="47">
        <v>3.4000000000000002E-2</v>
      </c>
      <c r="S56" s="47">
        <v>-0.68</v>
      </c>
      <c r="T56" s="47">
        <v>3.2000000000000001E-2</v>
      </c>
      <c r="U56" s="47">
        <v>-16.831</v>
      </c>
      <c r="V56" s="47">
        <v>2.8780000000000001</v>
      </c>
      <c r="W56" s="47">
        <v>-39.582000000000001</v>
      </c>
      <c r="X56" s="47">
        <v>2.81</v>
      </c>
      <c r="Y56" s="47">
        <v>-9.6632513749999992E-3</v>
      </c>
      <c r="Z56" s="47" t="s">
        <v>417</v>
      </c>
      <c r="AA56" s="47">
        <v>-0.38</v>
      </c>
      <c r="AB56" s="47">
        <v>1.061293155</v>
      </c>
      <c r="AC56" s="47">
        <v>0.95102542150000002</v>
      </c>
      <c r="AD56" s="47">
        <v>0.54800000000000004</v>
      </c>
      <c r="AE56" s="47">
        <v>0</v>
      </c>
      <c r="AF56" s="47">
        <v>-1.637634835E-2</v>
      </c>
      <c r="AG56" s="47" t="s">
        <v>418</v>
      </c>
      <c r="AH56" s="47">
        <v>-0.23400000000000001</v>
      </c>
      <c r="AI56" s="47">
        <v>1.3072849230000001</v>
      </c>
      <c r="AJ56" s="47">
        <v>0.38582342749999998</v>
      </c>
      <c r="AK56" s="47">
        <v>0.08</v>
      </c>
      <c r="AL56" s="47">
        <v>0</v>
      </c>
      <c r="AM56" s="47">
        <v>-7.83</v>
      </c>
      <c r="AN56" s="47"/>
      <c r="AO56" s="47"/>
      <c r="AP56" s="47">
        <v>-0.37</v>
      </c>
      <c r="AQ56" s="47"/>
      <c r="AR56" s="47"/>
      <c r="AS56" s="47">
        <v>30.54</v>
      </c>
      <c r="AT56" s="47"/>
      <c r="AU56" s="47"/>
      <c r="AV56" s="47">
        <v>0.54800000000000004</v>
      </c>
      <c r="AW56" s="47"/>
      <c r="AX56" s="47"/>
      <c r="AY56" s="47"/>
      <c r="AZ56" s="47"/>
      <c r="BA56" s="47">
        <v>0.08</v>
      </c>
      <c r="BB56" s="47"/>
      <c r="BC56" s="47"/>
      <c r="BD56" s="47"/>
      <c r="BE56" s="47"/>
      <c r="BF56" s="47">
        <v>41.871552719999997</v>
      </c>
      <c r="BG56" s="47"/>
      <c r="BH56" s="47"/>
      <c r="BI56" s="47">
        <v>1.0259489829999999</v>
      </c>
      <c r="BJ56" s="47"/>
      <c r="BK56" s="47">
        <v>4.4748979880000004</v>
      </c>
      <c r="BL56" s="47"/>
      <c r="BM56" s="47"/>
    </row>
    <row r="57" spans="1:65" x14ac:dyDescent="0.2">
      <c r="A57" s="47" t="s">
        <v>81</v>
      </c>
      <c r="B57" s="53">
        <v>43288.097222222219</v>
      </c>
      <c r="C57" s="47" t="s">
        <v>69</v>
      </c>
      <c r="D57" s="47" t="s">
        <v>416</v>
      </c>
      <c r="E57" s="47" t="s">
        <v>70</v>
      </c>
      <c r="F57" s="53">
        <v>43243.041666666664</v>
      </c>
      <c r="G57" s="47">
        <v>-7.93</v>
      </c>
      <c r="H57" s="47">
        <v>0</v>
      </c>
      <c r="I57" s="47">
        <v>8.0399999999999991</v>
      </c>
      <c r="J57" s="47">
        <v>0</v>
      </c>
      <c r="K57" s="47">
        <v>39.21</v>
      </c>
      <c r="L57" s="47">
        <v>0</v>
      </c>
      <c r="M57" s="47">
        <v>9.5009999999999994</v>
      </c>
      <c r="N57" s="47">
        <v>8.0000000000000002E-3</v>
      </c>
      <c r="O57" s="47">
        <v>-0.432</v>
      </c>
      <c r="P57" s="47">
        <v>6.0000000000000001E-3</v>
      </c>
      <c r="Q57" s="47">
        <v>27.241</v>
      </c>
      <c r="R57" s="47">
        <v>7.0999999999999994E-2</v>
      </c>
      <c r="S57" s="47">
        <v>-0.65600000000000003</v>
      </c>
      <c r="T57" s="47">
        <v>7.0000000000000007E-2</v>
      </c>
      <c r="U57" s="47">
        <v>-17.024000000000001</v>
      </c>
      <c r="V57" s="47">
        <v>2.0019999999999998</v>
      </c>
      <c r="W57" s="47">
        <v>-39.646999999999998</v>
      </c>
      <c r="X57" s="47">
        <v>1.952</v>
      </c>
      <c r="Y57" s="47">
        <v>-9.6162065980000006E-3</v>
      </c>
      <c r="Z57" s="47" t="s">
        <v>419</v>
      </c>
      <c r="AA57" s="47">
        <v>-0.34</v>
      </c>
      <c r="AB57" s="47">
        <v>1.0578407889999999</v>
      </c>
      <c r="AC57" s="47">
        <v>0.95030488790000001</v>
      </c>
      <c r="AD57" s="47">
        <v>0.59</v>
      </c>
      <c r="AE57" s="47">
        <v>0</v>
      </c>
      <c r="AF57" s="47">
        <v>-2.4692922329999999E-2</v>
      </c>
      <c r="AG57" s="47" t="s">
        <v>420</v>
      </c>
      <c r="AH57" s="47">
        <v>1.6E-2</v>
      </c>
      <c r="AI57" s="47">
        <v>1.297374858</v>
      </c>
      <c r="AJ57" s="47">
        <v>0.22023111079999999</v>
      </c>
      <c r="AK57" s="47">
        <v>0.24199999999999999</v>
      </c>
      <c r="AL57" s="47">
        <v>0</v>
      </c>
      <c r="AM57" s="47">
        <v>-7.89</v>
      </c>
      <c r="AN57" s="47"/>
      <c r="AO57" s="47"/>
      <c r="AP57" s="47">
        <v>-0.37</v>
      </c>
      <c r="AQ57" s="47"/>
      <c r="AR57" s="47"/>
      <c r="AS57" s="47">
        <v>30.54</v>
      </c>
      <c r="AT57" s="47"/>
      <c r="AU57" s="47"/>
      <c r="AV57" s="47">
        <v>0.59</v>
      </c>
      <c r="AW57" s="47"/>
      <c r="AX57" s="47"/>
      <c r="AY57" s="47"/>
      <c r="AZ57" s="47"/>
      <c r="BA57" s="47">
        <v>0.24199999999999999</v>
      </c>
      <c r="BB57" s="47"/>
      <c r="BC57" s="47"/>
      <c r="BD57" s="47"/>
      <c r="BE57" s="47"/>
      <c r="BF57" s="47">
        <v>26.314353610000001</v>
      </c>
      <c r="BG57" s="47"/>
      <c r="BH57" s="47"/>
      <c r="BI57" s="47">
        <v>1.0289785440000001</v>
      </c>
      <c r="BJ57" s="47"/>
      <c r="BK57" s="47">
        <v>1.51748149</v>
      </c>
      <c r="BL57" s="47"/>
      <c r="BM57" s="47"/>
    </row>
    <row r="58" spans="1:65" x14ac:dyDescent="0.2">
      <c r="A58" s="47" t="s">
        <v>89</v>
      </c>
      <c r="B58" s="53">
        <v>43388.813888888886</v>
      </c>
      <c r="C58" s="47" t="s">
        <v>69</v>
      </c>
      <c r="D58" s="47" t="s">
        <v>416</v>
      </c>
      <c r="E58" s="47" t="s">
        <v>70</v>
      </c>
      <c r="F58" s="53">
        <v>43387.808333333334</v>
      </c>
      <c r="G58" s="47">
        <v>-7.98</v>
      </c>
      <c r="H58" s="47">
        <v>0</v>
      </c>
      <c r="I58" s="47">
        <v>6.94</v>
      </c>
      <c r="J58" s="47">
        <v>0</v>
      </c>
      <c r="K58" s="47">
        <v>38.07</v>
      </c>
      <c r="L58" s="47">
        <v>0</v>
      </c>
      <c r="M58" s="47">
        <v>8.4309999999999992</v>
      </c>
      <c r="N58" s="47">
        <v>1.0999999999999999E-2</v>
      </c>
      <c r="O58" s="47">
        <v>-0.32500000000000001</v>
      </c>
      <c r="P58" s="47">
        <v>1.2E-2</v>
      </c>
      <c r="Q58" s="47">
        <v>24.977</v>
      </c>
      <c r="R58" s="47">
        <v>7.0999999999999994E-2</v>
      </c>
      <c r="S58" s="47">
        <v>-0.66500000000000004</v>
      </c>
      <c r="T58" s="47">
        <v>7.0000000000000007E-2</v>
      </c>
      <c r="U58" s="47">
        <v>-303.69</v>
      </c>
      <c r="V58" s="47">
        <v>56.698</v>
      </c>
      <c r="W58" s="47">
        <v>-318.18700000000001</v>
      </c>
      <c r="X58" s="47">
        <v>55.518999999999998</v>
      </c>
      <c r="Y58" s="47">
        <v>-1.0009514319999999E-2</v>
      </c>
      <c r="Z58" s="47" t="s">
        <v>421</v>
      </c>
      <c r="AA58" s="47">
        <v>-0.24099999999999999</v>
      </c>
      <c r="AB58" s="47">
        <v>1.1243344280000001</v>
      </c>
      <c r="AC58" s="47">
        <v>0.8533245908</v>
      </c>
      <c r="AD58" s="47">
        <v>0.58299999999999996</v>
      </c>
      <c r="AE58" s="47">
        <v>0</v>
      </c>
      <c r="AF58" s="47">
        <v>-2.1643116840000001E-2</v>
      </c>
      <c r="AG58" s="47" t="s">
        <v>422</v>
      </c>
      <c r="AH58" s="47">
        <v>-0.125</v>
      </c>
      <c r="AI58" s="47">
        <v>0.78606619580000003</v>
      </c>
      <c r="AJ58" s="47">
        <v>0.27819339920000002</v>
      </c>
      <c r="AK58" s="47">
        <v>0.18</v>
      </c>
      <c r="AL58" s="47">
        <v>0</v>
      </c>
      <c r="AM58" s="47">
        <v>-7.78</v>
      </c>
      <c r="AN58" s="47"/>
      <c r="AO58" s="47"/>
      <c r="AP58" s="47">
        <v>-0.65</v>
      </c>
      <c r="AQ58" s="47"/>
      <c r="AR58" s="47"/>
      <c r="AS58" s="47">
        <v>30.25</v>
      </c>
      <c r="AT58" s="47"/>
      <c r="AU58" s="47"/>
      <c r="AV58" s="47">
        <v>0.58299999999999996</v>
      </c>
      <c r="AW58" s="47"/>
      <c r="AX58" s="47"/>
      <c r="AY58" s="47"/>
      <c r="AZ58" s="47"/>
      <c r="BA58" s="47">
        <v>0.18</v>
      </c>
      <c r="BB58" s="47"/>
      <c r="BC58" s="47"/>
      <c r="BD58" s="47"/>
      <c r="BE58" s="47"/>
      <c r="BF58" s="47">
        <v>28.747650109999999</v>
      </c>
      <c r="BG58" s="47"/>
      <c r="BH58" s="47"/>
      <c r="BI58" s="47">
        <v>1.0284834819999999</v>
      </c>
      <c r="BJ58" s="47"/>
      <c r="BK58" s="47">
        <v>1.7175947149999999</v>
      </c>
      <c r="BL58" s="47"/>
      <c r="BM58" s="47"/>
    </row>
    <row r="59" spans="1:65" x14ac:dyDescent="0.2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</row>
    <row r="60" spans="1:65" s="52" customFormat="1" x14ac:dyDescent="0.2">
      <c r="A60" s="50" t="s">
        <v>423</v>
      </c>
      <c r="B60" s="49"/>
      <c r="C60" s="49"/>
      <c r="D60" s="49"/>
      <c r="E60" s="49"/>
      <c r="F60" s="49"/>
      <c r="G60" s="49"/>
      <c r="H60" s="50">
        <v>1.8559214540000001E-2</v>
      </c>
      <c r="I60" s="49"/>
      <c r="J60" s="50">
        <v>8.8191710369999992E-3</v>
      </c>
      <c r="K60" s="49"/>
      <c r="L60" s="50">
        <v>8.8191710369999992E-3</v>
      </c>
      <c r="M60" s="49"/>
      <c r="N60" s="50">
        <v>1.581490155E-2</v>
      </c>
      <c r="O60" s="49"/>
      <c r="P60" s="50">
        <v>3.8441875319999998E-3</v>
      </c>
      <c r="Q60" s="49"/>
      <c r="R60" s="50">
        <v>4.3796245400000003E-2</v>
      </c>
      <c r="S60" s="49"/>
      <c r="T60" s="50">
        <v>2.2191089300000001E-2</v>
      </c>
      <c r="U60" s="49"/>
      <c r="V60" s="50">
        <v>2.0710510210000002</v>
      </c>
      <c r="W60" s="49"/>
      <c r="X60" s="50">
        <v>2.0411903659999999</v>
      </c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50">
        <v>-9.1133333329999999</v>
      </c>
      <c r="AO60" s="50">
        <v>1.527525232E-2</v>
      </c>
      <c r="AP60" s="49"/>
      <c r="AQ60" s="50">
        <f>AVERAGE(AP61:AP63)</f>
        <v>-0.04</v>
      </c>
      <c r="AR60" s="50">
        <v>0.03</v>
      </c>
      <c r="AS60" s="49"/>
      <c r="AT60" s="50">
        <v>30.876666669999999</v>
      </c>
      <c r="AU60" s="50">
        <v>3.5118845840000003E-2</v>
      </c>
      <c r="AV60" s="49"/>
      <c r="AW60" s="50">
        <v>0.60033333330000005</v>
      </c>
      <c r="AX60" s="50">
        <v>6.38574802E-3</v>
      </c>
      <c r="AY60" s="51">
        <v>1.1060440019999999E-2</v>
      </c>
      <c r="AZ60" s="51">
        <v>2.1567858030000001E-2</v>
      </c>
      <c r="BA60" s="49"/>
      <c r="BB60" s="50">
        <v>0.24833333329999999</v>
      </c>
      <c r="BC60" s="50">
        <v>0.14730052430000001</v>
      </c>
      <c r="BD60" s="49"/>
      <c r="BE60" s="49"/>
      <c r="BF60" s="49"/>
      <c r="BG60" s="50">
        <v>22.872805240000002</v>
      </c>
      <c r="BH60" s="50">
        <v>2.111200315</v>
      </c>
      <c r="BI60" s="49"/>
      <c r="BJ60" s="50">
        <v>1.029699586</v>
      </c>
      <c r="BK60" s="49"/>
      <c r="BL60" s="50">
        <f>AVERAGE(BK61:BK63)</f>
        <v>1.1434864212000002</v>
      </c>
      <c r="BM60" s="50">
        <f>STDEV(BK61:BK63)</f>
        <v>0.71503619535659046</v>
      </c>
    </row>
    <row r="61" spans="1:65" x14ac:dyDescent="0.2">
      <c r="A61" s="47" t="s">
        <v>67</v>
      </c>
      <c r="B61" s="53">
        <v>43280.597916666666</v>
      </c>
      <c r="C61" s="47" t="s">
        <v>69</v>
      </c>
      <c r="D61" s="47" t="s">
        <v>423</v>
      </c>
      <c r="E61" s="47" t="s">
        <v>70</v>
      </c>
      <c r="F61" s="53">
        <v>43243.041666666664</v>
      </c>
      <c r="G61" s="47">
        <v>-9.18</v>
      </c>
      <c r="H61" s="47">
        <v>0</v>
      </c>
      <c r="I61" s="47">
        <v>8.4</v>
      </c>
      <c r="J61" s="47">
        <v>0</v>
      </c>
      <c r="K61" s="47">
        <v>39.58</v>
      </c>
      <c r="L61" s="47">
        <v>0</v>
      </c>
      <c r="M61" s="47">
        <v>8.6669999999999998</v>
      </c>
      <c r="N61" s="47">
        <v>1.6E-2</v>
      </c>
      <c r="O61" s="47">
        <v>-0.40400000000000003</v>
      </c>
      <c r="P61" s="47">
        <v>1.4E-2</v>
      </c>
      <c r="Q61" s="47">
        <v>28.004999999999999</v>
      </c>
      <c r="R61" s="47">
        <v>5.5E-2</v>
      </c>
      <c r="S61" s="47">
        <v>-0.625</v>
      </c>
      <c r="T61" s="47">
        <v>5.0999999999999997E-2</v>
      </c>
      <c r="U61" s="47">
        <v>-12.478999999999999</v>
      </c>
      <c r="V61" s="47">
        <v>2.9140000000000001</v>
      </c>
      <c r="W61" s="47">
        <v>-34.68</v>
      </c>
      <c r="X61" s="47">
        <v>2.8479999999999999</v>
      </c>
      <c r="Y61" s="47">
        <v>-9.8618309949999993E-3</v>
      </c>
      <c r="Z61" s="47" t="s">
        <v>424</v>
      </c>
      <c r="AA61" s="47">
        <v>-0.318</v>
      </c>
      <c r="AB61" s="47">
        <v>1.052942901</v>
      </c>
      <c r="AC61" s="47">
        <v>0.9470235427</v>
      </c>
      <c r="AD61" s="47">
        <v>0.61199999999999999</v>
      </c>
      <c r="AE61" s="47">
        <v>0</v>
      </c>
      <c r="AF61" s="47">
        <v>-3.0744557509999999E-2</v>
      </c>
      <c r="AG61" s="47" t="s">
        <v>425</v>
      </c>
      <c r="AH61" s="47">
        <v>0.23599999999999999</v>
      </c>
      <c r="AI61" s="47">
        <v>1.1980828080000001</v>
      </c>
      <c r="AJ61" s="47">
        <v>0.255008236</v>
      </c>
      <c r="AK61" s="47">
        <v>0.53800000000000003</v>
      </c>
      <c r="AL61" s="47">
        <v>0</v>
      </c>
      <c r="AM61" s="47">
        <v>-9.1300000000000008</v>
      </c>
      <c r="AN61" s="47"/>
      <c r="AO61" s="47"/>
      <c r="AP61" s="47">
        <v>-0.01</v>
      </c>
      <c r="AQ61" s="47"/>
      <c r="AR61" s="47"/>
      <c r="AS61" s="47">
        <v>30.91</v>
      </c>
      <c r="AT61" s="47"/>
      <c r="AU61" s="47"/>
      <c r="AV61" s="47">
        <v>0.61199999999999999</v>
      </c>
      <c r="AW61" s="47"/>
      <c r="AX61" s="47"/>
      <c r="AY61" s="47"/>
      <c r="AZ61" s="47"/>
      <c r="BA61" s="47">
        <v>0.53800000000000003</v>
      </c>
      <c r="BB61" s="47"/>
      <c r="BC61" s="47"/>
      <c r="BD61" s="47"/>
      <c r="BE61" s="47"/>
      <c r="BF61" s="47">
        <v>19.033468110000001</v>
      </c>
      <c r="BG61" s="47"/>
      <c r="BH61" s="47"/>
      <c r="BI61" s="47">
        <v>1.03051062</v>
      </c>
      <c r="BJ61" s="47"/>
      <c r="BK61" s="47">
        <v>0.3875551076</v>
      </c>
      <c r="BL61" s="47"/>
      <c r="BM61" s="47"/>
    </row>
    <row r="62" spans="1:65" x14ac:dyDescent="0.2">
      <c r="A62" s="47" t="s">
        <v>81</v>
      </c>
      <c r="B62" s="53">
        <v>43298.993750000001</v>
      </c>
      <c r="C62" s="47" t="s">
        <v>69</v>
      </c>
      <c r="D62" s="47" t="s">
        <v>423</v>
      </c>
      <c r="E62" s="47" t="s">
        <v>70</v>
      </c>
      <c r="F62" s="53">
        <v>43243.041666666664</v>
      </c>
      <c r="G62" s="47">
        <v>-9.1199999999999992</v>
      </c>
      <c r="H62" s="47">
        <v>0</v>
      </c>
      <c r="I62" s="47">
        <v>8.3800000000000008</v>
      </c>
      <c r="J62" s="47">
        <v>0</v>
      </c>
      <c r="K62" s="47">
        <v>39.56</v>
      </c>
      <c r="L62" s="47">
        <v>0</v>
      </c>
      <c r="M62" s="47">
        <v>8.6859999999999999</v>
      </c>
      <c r="N62" s="47">
        <v>1.4E-2</v>
      </c>
      <c r="O62" s="47">
        <v>-0.41699999999999998</v>
      </c>
      <c r="P62" s="47">
        <v>1.2999999999999999E-2</v>
      </c>
      <c r="Q62" s="47">
        <v>27.899000000000001</v>
      </c>
      <c r="R62" s="47">
        <v>0.05</v>
      </c>
      <c r="S62" s="47">
        <v>-0.67300000000000004</v>
      </c>
      <c r="T62" s="47">
        <v>4.9000000000000002E-2</v>
      </c>
      <c r="U62" s="47">
        <v>-17.027999999999999</v>
      </c>
      <c r="V62" s="47">
        <v>1.413</v>
      </c>
      <c r="W62" s="47">
        <v>-39.134</v>
      </c>
      <c r="X62" s="47">
        <v>1.383</v>
      </c>
      <c r="Y62" s="47">
        <v>-1.01594575E-2</v>
      </c>
      <c r="Z62" s="47" t="s">
        <v>426</v>
      </c>
      <c r="AA62" s="47">
        <v>-0.32900000000000001</v>
      </c>
      <c r="AB62" s="47">
        <v>1.032723021</v>
      </c>
      <c r="AC62" s="47">
        <v>0.92930997299999996</v>
      </c>
      <c r="AD62" s="47">
        <v>0.59</v>
      </c>
      <c r="AE62" s="47">
        <v>0</v>
      </c>
      <c r="AF62" s="47">
        <v>-1.6492599560000001E-2</v>
      </c>
      <c r="AG62" s="47" t="s">
        <v>427</v>
      </c>
      <c r="AH62" s="47">
        <v>-0.21199999999999999</v>
      </c>
      <c r="AI62" s="47">
        <v>0.63434640369999995</v>
      </c>
      <c r="AJ62" s="47">
        <v>0.19218312069999999</v>
      </c>
      <c r="AK62" s="47">
        <v>5.7000000000000002E-2</v>
      </c>
      <c r="AL62" s="47">
        <v>0</v>
      </c>
      <c r="AM62" s="47">
        <v>-9.1</v>
      </c>
      <c r="AN62" s="47"/>
      <c r="AO62" s="47"/>
      <c r="AP62" s="47">
        <v>-7.0000000000000007E-2</v>
      </c>
      <c r="AQ62" s="47"/>
      <c r="AR62" s="47"/>
      <c r="AS62" s="47">
        <v>30.84</v>
      </c>
      <c r="AT62" s="47"/>
      <c r="AU62" s="47"/>
      <c r="AV62" s="47">
        <v>0.59</v>
      </c>
      <c r="AW62" s="47"/>
      <c r="AX62" s="47"/>
      <c r="AY62" s="47"/>
      <c r="AZ62" s="47"/>
      <c r="BA62" s="47">
        <v>5.7000000000000002E-2</v>
      </c>
      <c r="BB62" s="47"/>
      <c r="BC62" s="47"/>
      <c r="BD62" s="47"/>
      <c r="BE62" s="47"/>
      <c r="BF62" s="47">
        <v>26.314353610000001</v>
      </c>
      <c r="BG62" s="47"/>
      <c r="BH62" s="47"/>
      <c r="BI62" s="47">
        <v>1.0289785440000001</v>
      </c>
      <c r="BJ62" s="47"/>
      <c r="BK62" s="47">
        <v>1.8090327580000001</v>
      </c>
      <c r="BL62" s="47"/>
      <c r="BM62" s="47"/>
    </row>
    <row r="63" spans="1:65" x14ac:dyDescent="0.2">
      <c r="A63" s="47" t="s">
        <v>89</v>
      </c>
      <c r="B63" s="53">
        <v>43299.693749999999</v>
      </c>
      <c r="C63" s="47" t="s">
        <v>69</v>
      </c>
      <c r="D63" s="47" t="s">
        <v>423</v>
      </c>
      <c r="E63" s="47" t="s">
        <v>70</v>
      </c>
      <c r="F63" s="53">
        <v>43243.041666666664</v>
      </c>
      <c r="G63" s="47">
        <v>-9.1300000000000008</v>
      </c>
      <c r="H63" s="47">
        <v>0</v>
      </c>
      <c r="I63" s="47">
        <v>8.41</v>
      </c>
      <c r="J63" s="47">
        <v>0</v>
      </c>
      <c r="K63" s="47">
        <v>39.590000000000003</v>
      </c>
      <c r="L63" s="47">
        <v>0</v>
      </c>
      <c r="M63" s="47">
        <v>8.7210000000000001</v>
      </c>
      <c r="N63" s="47">
        <v>1.7000000000000001E-2</v>
      </c>
      <c r="O63" s="47">
        <v>-0.40799999999999997</v>
      </c>
      <c r="P63" s="47">
        <v>1.6E-2</v>
      </c>
      <c r="Q63" s="47">
        <v>28.045999999999999</v>
      </c>
      <c r="R63" s="47">
        <v>4.9000000000000002E-2</v>
      </c>
      <c r="S63" s="47">
        <v>-0.59699999999999998</v>
      </c>
      <c r="T63" s="47">
        <v>4.9000000000000002E-2</v>
      </c>
      <c r="U63" s="47">
        <v>-19.558</v>
      </c>
      <c r="V63" s="47">
        <v>2.9470000000000001</v>
      </c>
      <c r="W63" s="47">
        <v>-41.662999999999997</v>
      </c>
      <c r="X63" s="47">
        <v>2.879</v>
      </c>
      <c r="Y63" s="47">
        <v>-1.010337148E-2</v>
      </c>
      <c r="Z63" s="47" t="s">
        <v>428</v>
      </c>
      <c r="AA63" s="47">
        <v>-0.32</v>
      </c>
      <c r="AB63" s="47">
        <v>1.032723021</v>
      </c>
      <c r="AC63" s="47">
        <v>0.92930997299999996</v>
      </c>
      <c r="AD63" s="47">
        <v>0.59899999999999998</v>
      </c>
      <c r="AE63" s="47">
        <v>0</v>
      </c>
      <c r="AF63" s="47">
        <v>-1.8895314149999998E-2</v>
      </c>
      <c r="AG63" s="47" t="s">
        <v>429</v>
      </c>
      <c r="AH63" s="47">
        <v>-6.7000000000000004E-2</v>
      </c>
      <c r="AI63" s="47">
        <v>0.63434640369999995</v>
      </c>
      <c r="AJ63" s="47">
        <v>0.19218312069999999</v>
      </c>
      <c r="AK63" s="47">
        <v>0.15</v>
      </c>
      <c r="AL63" s="47">
        <v>0</v>
      </c>
      <c r="AM63" s="47">
        <v>-9.11</v>
      </c>
      <c r="AN63" s="47"/>
      <c r="AO63" s="47"/>
      <c r="AP63" s="47">
        <v>-0.04</v>
      </c>
      <c r="AQ63" s="47"/>
      <c r="AR63" s="47"/>
      <c r="AS63" s="47">
        <v>30.88</v>
      </c>
      <c r="AT63" s="47"/>
      <c r="AU63" s="47"/>
      <c r="AV63" s="47">
        <v>0.59899999999999998</v>
      </c>
      <c r="AW63" s="47"/>
      <c r="AX63" s="47"/>
      <c r="AY63" s="47"/>
      <c r="AZ63" s="47"/>
      <c r="BA63" s="47">
        <v>0.15</v>
      </c>
      <c r="BB63" s="47"/>
      <c r="BC63" s="47"/>
      <c r="BD63" s="47"/>
      <c r="BE63" s="47"/>
      <c r="BF63" s="47">
        <v>23.270593989999998</v>
      </c>
      <c r="BG63" s="47"/>
      <c r="BH63" s="47"/>
      <c r="BI63" s="47">
        <v>1.0296095940000001</v>
      </c>
      <c r="BJ63" s="47"/>
      <c r="BK63" s="47">
        <v>1.233871398</v>
      </c>
      <c r="BL63" s="47"/>
      <c r="BM63" s="47"/>
    </row>
    <row r="64" spans="1:65" x14ac:dyDescent="0.2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</row>
    <row r="65" spans="1:65" s="52" customFormat="1" x14ac:dyDescent="0.2">
      <c r="A65" s="50" t="s">
        <v>430</v>
      </c>
      <c r="B65" s="49"/>
      <c r="C65" s="49"/>
      <c r="D65" s="49"/>
      <c r="E65" s="49"/>
      <c r="F65" s="49"/>
      <c r="G65" s="49"/>
      <c r="H65" s="50">
        <v>3.2954514109999999E-2</v>
      </c>
      <c r="I65" s="49"/>
      <c r="J65" s="50">
        <v>0.25114935799999999</v>
      </c>
      <c r="K65" s="49"/>
      <c r="L65" s="50">
        <v>0.25951107880000002</v>
      </c>
      <c r="M65" s="49"/>
      <c r="N65" s="50">
        <v>0.25635151649999999</v>
      </c>
      <c r="O65" s="49"/>
      <c r="P65" s="50">
        <v>2.2400892839999999E-2</v>
      </c>
      <c r="Q65" s="49"/>
      <c r="R65" s="50">
        <v>0.53389577629999996</v>
      </c>
      <c r="S65" s="49"/>
      <c r="T65" s="50">
        <v>0.1423181647</v>
      </c>
      <c r="U65" s="49"/>
      <c r="V65" s="50">
        <v>225.6555415</v>
      </c>
      <c r="W65" s="49"/>
      <c r="X65" s="50">
        <v>221.8194058</v>
      </c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50">
        <v>-9.968</v>
      </c>
      <c r="AO65" s="50">
        <v>3.8987177380000002E-2</v>
      </c>
      <c r="AP65" s="49"/>
      <c r="AQ65" s="50">
        <f>AVERAGE(AP66:AP70)</f>
        <v>-5.2000000000000005E-2</v>
      </c>
      <c r="AR65" s="50">
        <v>0.1859300944</v>
      </c>
      <c r="AS65" s="49"/>
      <c r="AT65" s="50">
        <v>30.867999999999999</v>
      </c>
      <c r="AU65" s="50">
        <v>0.19175505209999999</v>
      </c>
      <c r="AV65" s="49"/>
      <c r="AW65" s="50">
        <v>0.61839999999999995</v>
      </c>
      <c r="AX65" s="50">
        <v>7.4404300949999997E-3</v>
      </c>
      <c r="AY65" s="51">
        <v>1.6637307470000001E-2</v>
      </c>
      <c r="AZ65" s="51">
        <v>3.2442749579999999E-2</v>
      </c>
      <c r="BA65" s="49"/>
      <c r="BB65" s="50">
        <v>0.23380000000000001</v>
      </c>
      <c r="BC65" s="50">
        <v>0.1183111998</v>
      </c>
      <c r="BD65" s="49"/>
      <c r="BE65" s="49"/>
      <c r="BF65" s="49"/>
      <c r="BG65" s="50">
        <v>17.124744320000001</v>
      </c>
      <c r="BH65" s="50">
        <v>2.3219697080000001</v>
      </c>
      <c r="BI65" s="49"/>
      <c r="BJ65" s="50">
        <v>1.0309421459999999</v>
      </c>
      <c r="BK65" s="49"/>
      <c r="BL65" s="50">
        <f>AVERAGE(BK66:BK70)</f>
        <v>-7.0954205179999993E-2</v>
      </c>
      <c r="BM65" s="50">
        <f>STDEV(BK66:BK70)</f>
        <v>1.1104283035002163</v>
      </c>
    </row>
    <row r="66" spans="1:65" x14ac:dyDescent="0.2">
      <c r="A66" s="47" t="s">
        <v>67</v>
      </c>
      <c r="B66" s="53">
        <v>43280.685416666667</v>
      </c>
      <c r="C66" s="47" t="s">
        <v>69</v>
      </c>
      <c r="D66" s="47" t="s">
        <v>430</v>
      </c>
      <c r="E66" s="47" t="s">
        <v>70</v>
      </c>
      <c r="F66" s="53">
        <v>43243.041666666664</v>
      </c>
      <c r="G66" s="47">
        <v>-10.039999999999999</v>
      </c>
      <c r="H66" s="47">
        <v>0</v>
      </c>
      <c r="I66" s="47">
        <v>8.4700000000000006</v>
      </c>
      <c r="J66" s="47">
        <v>0</v>
      </c>
      <c r="K66" s="47">
        <v>39.65</v>
      </c>
      <c r="L66" s="47">
        <v>0</v>
      </c>
      <c r="M66" s="47">
        <v>7.8920000000000003</v>
      </c>
      <c r="N66" s="47">
        <v>1.2999999999999999E-2</v>
      </c>
      <c r="O66" s="47">
        <v>-0.40100000000000002</v>
      </c>
      <c r="P66" s="47">
        <v>1.2E-2</v>
      </c>
      <c r="Q66" s="47">
        <v>28.201000000000001</v>
      </c>
      <c r="R66" s="47">
        <v>6.0999999999999999E-2</v>
      </c>
      <c r="S66" s="47">
        <v>-0.56399999999999995</v>
      </c>
      <c r="T66" s="47">
        <v>6.0999999999999999E-2</v>
      </c>
      <c r="U66" s="47">
        <v>-12.081</v>
      </c>
      <c r="V66" s="47">
        <v>2.4660000000000002</v>
      </c>
      <c r="W66" s="47">
        <v>-33.58</v>
      </c>
      <c r="X66" s="47">
        <v>2.4119999999999999</v>
      </c>
      <c r="Y66" s="47">
        <v>-9.8618309949999993E-3</v>
      </c>
      <c r="Z66" s="47" t="s">
        <v>431</v>
      </c>
      <c r="AA66" s="47">
        <v>-0.32300000000000001</v>
      </c>
      <c r="AB66" s="47">
        <v>1.052942901</v>
      </c>
      <c r="AC66" s="47">
        <v>0.9470235427</v>
      </c>
      <c r="AD66" s="47">
        <v>0.60699999999999998</v>
      </c>
      <c r="AE66" s="47">
        <v>0</v>
      </c>
      <c r="AF66" s="47">
        <v>-3.0744557509999999E-2</v>
      </c>
      <c r="AG66" s="47" t="s">
        <v>432</v>
      </c>
      <c r="AH66" s="47">
        <v>0.30299999999999999</v>
      </c>
      <c r="AI66" s="47">
        <v>1.1980828080000001</v>
      </c>
      <c r="AJ66" s="47">
        <v>0.255008236</v>
      </c>
      <c r="AK66" s="47">
        <v>0.61799999999999999</v>
      </c>
      <c r="AL66" s="47">
        <v>0</v>
      </c>
      <c r="AM66" s="47">
        <v>-9.99</v>
      </c>
      <c r="AN66" s="47"/>
      <c r="AO66" s="47"/>
      <c r="AP66" s="47">
        <v>0.05</v>
      </c>
      <c r="AQ66" s="47"/>
      <c r="AR66" s="47"/>
      <c r="AS66" s="47">
        <v>30.98</v>
      </c>
      <c r="AT66" s="47"/>
      <c r="AU66" s="47"/>
      <c r="AV66" s="47">
        <v>0.60699999999999998</v>
      </c>
      <c r="AW66" s="47"/>
      <c r="AX66" s="47"/>
      <c r="AY66" s="47"/>
      <c r="AZ66" s="47"/>
      <c r="BA66" s="47">
        <v>0.61799999999999999</v>
      </c>
      <c r="BB66" s="47"/>
      <c r="BC66" s="47"/>
      <c r="BD66" s="47"/>
      <c r="BE66" s="47"/>
      <c r="BF66" s="47">
        <v>20.641534570000001</v>
      </c>
      <c r="BG66" s="47"/>
      <c r="BH66" s="47"/>
      <c r="BI66" s="47">
        <v>1.0301655110000001</v>
      </c>
      <c r="BJ66" s="47"/>
      <c r="BK66" s="47">
        <v>0.7906386702</v>
      </c>
      <c r="BL66" s="47"/>
      <c r="BM66" s="47"/>
    </row>
    <row r="67" spans="1:65" x14ac:dyDescent="0.2">
      <c r="A67" s="47" t="s">
        <v>81</v>
      </c>
      <c r="B67" s="53">
        <v>43299.872916666667</v>
      </c>
      <c r="C67" s="47" t="s">
        <v>69</v>
      </c>
      <c r="D67" s="47" t="s">
        <v>430</v>
      </c>
      <c r="E67" s="47" t="s">
        <v>70</v>
      </c>
      <c r="F67" s="53">
        <v>43243.041666666664</v>
      </c>
      <c r="G67" s="47">
        <v>-9.99</v>
      </c>
      <c r="H67" s="47">
        <v>0</v>
      </c>
      <c r="I67" s="47">
        <v>8.48</v>
      </c>
      <c r="J67" s="47">
        <v>0</v>
      </c>
      <c r="K67" s="47">
        <v>39.659999999999997</v>
      </c>
      <c r="L67" s="47">
        <v>0</v>
      </c>
      <c r="M67" s="47">
        <v>7.9530000000000003</v>
      </c>
      <c r="N67" s="47">
        <v>1.9E-2</v>
      </c>
      <c r="O67" s="47">
        <v>-0.4</v>
      </c>
      <c r="P67" s="47">
        <v>1.7000000000000001E-2</v>
      </c>
      <c r="Q67" s="47">
        <v>28.338000000000001</v>
      </c>
      <c r="R67" s="47">
        <v>9.1999999999999998E-2</v>
      </c>
      <c r="S67" s="47">
        <v>-0.44800000000000001</v>
      </c>
      <c r="T67" s="47">
        <v>8.6999999999999994E-2</v>
      </c>
      <c r="U67" s="47">
        <v>-18.690999999999999</v>
      </c>
      <c r="V67" s="47">
        <v>2.6720000000000002</v>
      </c>
      <c r="W67" s="47">
        <v>-40.113999999999997</v>
      </c>
      <c r="X67" s="47">
        <v>2.6110000000000002</v>
      </c>
      <c r="Y67" s="47">
        <v>-1.010337148E-2</v>
      </c>
      <c r="Z67" s="47" t="s">
        <v>433</v>
      </c>
      <c r="AA67" s="47">
        <v>-0.31900000000000001</v>
      </c>
      <c r="AB67" s="47">
        <v>1.032723021</v>
      </c>
      <c r="AC67" s="47">
        <v>0.92930997299999996</v>
      </c>
      <c r="AD67" s="47">
        <v>0.59899999999999998</v>
      </c>
      <c r="AE67" s="47">
        <v>0</v>
      </c>
      <c r="AF67" s="47">
        <v>-1.8895314149999998E-2</v>
      </c>
      <c r="AG67" s="47" t="s">
        <v>434</v>
      </c>
      <c r="AH67" s="47">
        <v>8.7999999999999995E-2</v>
      </c>
      <c r="AI67" s="47">
        <v>0.63434640369999995</v>
      </c>
      <c r="AJ67" s="47">
        <v>0.19218312069999999</v>
      </c>
      <c r="AK67" s="47">
        <v>0.248</v>
      </c>
      <c r="AL67" s="47">
        <v>0</v>
      </c>
      <c r="AM67" s="47">
        <v>-9.98</v>
      </c>
      <c r="AN67" s="47"/>
      <c r="AO67" s="47"/>
      <c r="AP67" s="47">
        <v>0.03</v>
      </c>
      <c r="AQ67" s="47"/>
      <c r="AR67" s="47"/>
      <c r="AS67" s="47">
        <v>30.95</v>
      </c>
      <c r="AT67" s="47"/>
      <c r="AU67" s="47"/>
      <c r="AV67" s="47">
        <v>0.59899999999999998</v>
      </c>
      <c r="AW67" s="47"/>
      <c r="AX67" s="47"/>
      <c r="AY67" s="47"/>
      <c r="AZ67" s="47"/>
      <c r="BA67" s="47">
        <v>0.248</v>
      </c>
      <c r="BB67" s="47"/>
      <c r="BC67" s="47"/>
      <c r="BD67" s="47"/>
      <c r="BE67" s="47"/>
      <c r="BF67" s="47">
        <v>23.270593989999998</v>
      </c>
      <c r="BG67" s="47"/>
      <c r="BH67" s="47"/>
      <c r="BI67" s="47">
        <v>1.0296095940000001</v>
      </c>
      <c r="BJ67" s="47"/>
      <c r="BK67" s="47">
        <v>1.3018583319999999</v>
      </c>
      <c r="BL67" s="47"/>
      <c r="BM67" s="47"/>
    </row>
    <row r="68" spans="1:65" x14ac:dyDescent="0.2">
      <c r="A68" s="47" t="s">
        <v>89</v>
      </c>
      <c r="B68" s="53">
        <v>43306.84097222222</v>
      </c>
      <c r="C68" s="47" t="s">
        <v>69</v>
      </c>
      <c r="D68" s="47" t="s">
        <v>430</v>
      </c>
      <c r="E68" s="47" t="s">
        <v>70</v>
      </c>
      <c r="F68" s="53">
        <v>43243.041666666664</v>
      </c>
      <c r="G68" s="47">
        <v>-9.9600000000000009</v>
      </c>
      <c r="H68" s="47">
        <v>0</v>
      </c>
      <c r="I68" s="47">
        <v>8.4499999999999993</v>
      </c>
      <c r="J68" s="47">
        <v>0</v>
      </c>
      <c r="K68" s="47">
        <v>39.64</v>
      </c>
      <c r="L68" s="47">
        <v>0</v>
      </c>
      <c r="M68" s="47">
        <v>7.9870000000000001</v>
      </c>
      <c r="N68" s="47">
        <v>1.4999999999999999E-2</v>
      </c>
      <c r="O68" s="47">
        <v>-0.36599999999999999</v>
      </c>
      <c r="P68" s="47">
        <v>1.2999999999999999E-2</v>
      </c>
      <c r="Q68" s="47">
        <v>27.527999999999999</v>
      </c>
      <c r="R68" s="47">
        <v>6.8000000000000005E-2</v>
      </c>
      <c r="S68" s="47">
        <v>-1.1830000000000001</v>
      </c>
      <c r="T68" s="47">
        <v>6.7000000000000004E-2</v>
      </c>
      <c r="U68" s="47">
        <v>-20.436</v>
      </c>
      <c r="V68" s="47">
        <v>3.13</v>
      </c>
      <c r="W68" s="47">
        <v>-41.796999999999997</v>
      </c>
      <c r="X68" s="47">
        <v>3.06</v>
      </c>
      <c r="Y68" s="47">
        <v>-1.014892331E-2</v>
      </c>
      <c r="Z68" s="47" t="s">
        <v>435</v>
      </c>
      <c r="AA68" s="47">
        <v>-0.28499999999999998</v>
      </c>
      <c r="AB68" s="47">
        <v>1.037751506</v>
      </c>
      <c r="AC68" s="47">
        <v>0.93243343590000005</v>
      </c>
      <c r="AD68" s="47">
        <v>0.63700000000000001</v>
      </c>
      <c r="AE68" s="47">
        <v>0</v>
      </c>
      <c r="AF68" s="47">
        <v>-2.6202725570000002E-2</v>
      </c>
      <c r="AG68" s="47" t="s">
        <v>436</v>
      </c>
      <c r="AH68" s="47">
        <v>-0.46200000000000002</v>
      </c>
      <c r="AI68" s="47">
        <v>0.68100893890000003</v>
      </c>
      <c r="AJ68" s="47">
        <v>0.1999397178</v>
      </c>
      <c r="AK68" s="47">
        <v>-0.115</v>
      </c>
      <c r="AL68" s="47">
        <v>0</v>
      </c>
      <c r="AM68" s="47">
        <v>-9.9499999999999993</v>
      </c>
      <c r="AN68" s="47"/>
      <c r="AO68" s="47"/>
      <c r="AP68" s="47">
        <v>-0.02</v>
      </c>
      <c r="AQ68" s="47"/>
      <c r="AR68" s="47"/>
      <c r="AS68" s="47">
        <v>30.9</v>
      </c>
      <c r="AT68" s="47"/>
      <c r="AU68" s="47"/>
      <c r="AV68" s="47">
        <v>0.63700000000000001</v>
      </c>
      <c r="AW68" s="47"/>
      <c r="AX68" s="47"/>
      <c r="AY68" s="47"/>
      <c r="AZ68" s="47"/>
      <c r="BA68" s="47">
        <v>-0.115</v>
      </c>
      <c r="BB68" s="47"/>
      <c r="BC68" s="47"/>
      <c r="BD68" s="47"/>
      <c r="BE68" s="47"/>
      <c r="BF68" s="47">
        <v>11.37131898</v>
      </c>
      <c r="BG68" s="47"/>
      <c r="BH68" s="47"/>
      <c r="BI68" s="47">
        <v>1.032210265</v>
      </c>
      <c r="BJ68" s="47"/>
      <c r="BK68" s="47">
        <v>-1.269377625</v>
      </c>
      <c r="BL68" s="47"/>
      <c r="BM68" s="47"/>
    </row>
    <row r="69" spans="1:65" x14ac:dyDescent="0.2">
      <c r="A69" s="47" t="s">
        <v>355</v>
      </c>
      <c r="B69" s="53">
        <v>43388.902777777781</v>
      </c>
      <c r="C69" s="47" t="s">
        <v>69</v>
      </c>
      <c r="D69" s="47" t="s">
        <v>430</v>
      </c>
      <c r="E69" s="47" t="s">
        <v>70</v>
      </c>
      <c r="F69" s="53">
        <v>43387.808333333334</v>
      </c>
      <c r="G69" s="47">
        <v>-10.11</v>
      </c>
      <c r="H69" s="47">
        <v>0</v>
      </c>
      <c r="I69" s="47">
        <v>7.17</v>
      </c>
      <c r="J69" s="47">
        <v>0</v>
      </c>
      <c r="K69" s="47">
        <v>38.31</v>
      </c>
      <c r="L69" s="47">
        <v>0</v>
      </c>
      <c r="M69" s="47">
        <v>6.6260000000000003</v>
      </c>
      <c r="N69" s="47">
        <v>1.7000000000000001E-2</v>
      </c>
      <c r="O69" s="47">
        <v>-0.27800000000000002</v>
      </c>
      <c r="P69" s="47">
        <v>1.6E-2</v>
      </c>
      <c r="Q69" s="47">
        <v>25.381</v>
      </c>
      <c r="R69" s="47">
        <v>8.2000000000000003E-2</v>
      </c>
      <c r="S69" s="47">
        <v>-0.72299999999999998</v>
      </c>
      <c r="T69" s="47">
        <v>7.9000000000000001E-2</v>
      </c>
      <c r="U69" s="47">
        <v>1119.248</v>
      </c>
      <c r="V69" s="47">
        <v>1028.674</v>
      </c>
      <c r="W69" s="47">
        <v>1078.635</v>
      </c>
      <c r="X69" s="47">
        <v>1008.956</v>
      </c>
      <c r="Y69" s="47">
        <v>-1.0009514319999999E-2</v>
      </c>
      <c r="Z69" s="47" t="s">
        <v>437</v>
      </c>
      <c r="AA69" s="47">
        <v>-0.21199999999999999</v>
      </c>
      <c r="AB69" s="47">
        <v>1.1243344280000001</v>
      </c>
      <c r="AC69" s="47">
        <v>0.8533245908</v>
      </c>
      <c r="AD69" s="47">
        <v>0.61499999999999999</v>
      </c>
      <c r="AE69" s="47">
        <v>0</v>
      </c>
      <c r="AF69" s="47">
        <v>-2.1643116840000001E-2</v>
      </c>
      <c r="AG69" s="47" t="s">
        <v>438</v>
      </c>
      <c r="AH69" s="47">
        <v>-0.17399999999999999</v>
      </c>
      <c r="AI69" s="47">
        <v>0.78606619580000003</v>
      </c>
      <c r="AJ69" s="47">
        <v>0.27819339920000002</v>
      </c>
      <c r="AK69" s="47">
        <v>0.14099999999999999</v>
      </c>
      <c r="AL69" s="47">
        <v>0</v>
      </c>
      <c r="AM69" s="47">
        <v>-9.91</v>
      </c>
      <c r="AN69" s="47"/>
      <c r="AO69" s="47"/>
      <c r="AP69" s="47">
        <v>-0.38</v>
      </c>
      <c r="AQ69" s="47"/>
      <c r="AR69" s="47"/>
      <c r="AS69" s="47">
        <v>30.53</v>
      </c>
      <c r="AT69" s="47"/>
      <c r="AU69" s="47"/>
      <c r="AV69" s="47">
        <v>0.61499999999999999</v>
      </c>
      <c r="AW69" s="47"/>
      <c r="AX69" s="47"/>
      <c r="AY69" s="47"/>
      <c r="AZ69" s="47"/>
      <c r="BA69" s="47">
        <v>0.14099999999999999</v>
      </c>
      <c r="BB69" s="47"/>
      <c r="BC69" s="47"/>
      <c r="BD69" s="47"/>
      <c r="BE69" s="47"/>
      <c r="BF69" s="47">
        <v>18.081210930000001</v>
      </c>
      <c r="BG69" s="47"/>
      <c r="BH69" s="47"/>
      <c r="BI69" s="47">
        <v>1.0307168369999999</v>
      </c>
      <c r="BJ69" s="47"/>
      <c r="BK69" s="47">
        <v>-0.1812691746</v>
      </c>
      <c r="BL69" s="47"/>
      <c r="BM69" s="47"/>
    </row>
    <row r="70" spans="1:65" x14ac:dyDescent="0.2">
      <c r="A70" s="47" t="s">
        <v>400</v>
      </c>
      <c r="B70" s="53">
        <v>43545.121527777781</v>
      </c>
      <c r="C70" s="47" t="s">
        <v>69</v>
      </c>
      <c r="D70" s="47" t="s">
        <v>430</v>
      </c>
      <c r="E70" s="47" t="s">
        <v>70</v>
      </c>
      <c r="F70" s="53">
        <v>43540.749305555553</v>
      </c>
      <c r="G70" s="47">
        <v>-10.130000000000001</v>
      </c>
      <c r="H70" s="47">
        <v>0</v>
      </c>
      <c r="I70" s="47">
        <v>8.15</v>
      </c>
      <c r="J70" s="47">
        <v>0</v>
      </c>
      <c r="K70" s="47">
        <v>39.32</v>
      </c>
      <c r="L70" s="47">
        <v>0</v>
      </c>
      <c r="M70" s="47">
        <v>7.5220000000000002</v>
      </c>
      <c r="N70" s="47">
        <v>8.9999999999999993E-3</v>
      </c>
      <c r="O70" s="47">
        <v>-0.36</v>
      </c>
      <c r="P70" s="47">
        <v>8.0000000000000002E-3</v>
      </c>
      <c r="Q70" s="47">
        <v>27.021999999999998</v>
      </c>
      <c r="R70" s="47">
        <v>5.8999999999999997E-2</v>
      </c>
      <c r="S70" s="47">
        <v>-1.07</v>
      </c>
      <c r="T70" s="47">
        <v>5.6000000000000001E-2</v>
      </c>
      <c r="U70" s="47">
        <v>17.117999999999999</v>
      </c>
      <c r="V70" s="47">
        <v>2.0169999999999999</v>
      </c>
      <c r="W70" s="47">
        <v>-4.2939999999999996</v>
      </c>
      <c r="X70" s="47">
        <v>1.9730000000000001</v>
      </c>
      <c r="Y70" s="47">
        <v>-9.5816022200000007E-3</v>
      </c>
      <c r="Z70" s="47" t="s">
        <v>439</v>
      </c>
      <c r="AA70" s="47">
        <v>-0.28799999999999998</v>
      </c>
      <c r="AB70" s="47">
        <v>1.03974185</v>
      </c>
      <c r="AC70" s="47">
        <v>0.93291620939999997</v>
      </c>
      <c r="AD70" s="47">
        <v>0.63400000000000001</v>
      </c>
      <c r="AE70" s="47">
        <v>0</v>
      </c>
      <c r="AF70" s="47">
        <v>-3.495502415E-2</v>
      </c>
      <c r="AG70" s="47" t="s">
        <v>440</v>
      </c>
      <c r="AH70" s="47">
        <v>-0.125</v>
      </c>
      <c r="AI70" s="47">
        <v>0.71035451940000005</v>
      </c>
      <c r="AJ70" s="47">
        <v>0.365642209</v>
      </c>
      <c r="AK70" s="47">
        <v>0.27700000000000002</v>
      </c>
      <c r="AL70" s="47">
        <v>0</v>
      </c>
      <c r="AM70" s="47">
        <v>-10.01</v>
      </c>
      <c r="AN70" s="47"/>
      <c r="AO70" s="47"/>
      <c r="AP70" s="47">
        <v>0.06</v>
      </c>
      <c r="AQ70" s="47"/>
      <c r="AR70" s="47"/>
      <c r="AS70" s="47">
        <v>30.98</v>
      </c>
      <c r="AT70" s="47"/>
      <c r="AU70" s="47"/>
      <c r="AV70" s="47">
        <v>0.63400000000000001</v>
      </c>
      <c r="AW70" s="47"/>
      <c r="AX70" s="47"/>
      <c r="AY70" s="47"/>
      <c r="AZ70" s="47"/>
      <c r="BA70" s="47">
        <v>0.27700000000000002</v>
      </c>
      <c r="BB70" s="47"/>
      <c r="BC70" s="47"/>
      <c r="BD70" s="47"/>
      <c r="BE70" s="47"/>
      <c r="BF70" s="47">
        <v>12.25906316</v>
      </c>
      <c r="BG70" s="47"/>
      <c r="BH70" s="47"/>
      <c r="BI70" s="47">
        <v>1.0320085219999999</v>
      </c>
      <c r="BJ70" s="47"/>
      <c r="BK70" s="47">
        <v>-0.99662122850000001</v>
      </c>
      <c r="BL70" s="47"/>
      <c r="BM70" s="47"/>
    </row>
    <row r="71" spans="1:65" x14ac:dyDescent="0.2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</row>
    <row r="72" spans="1:65" s="52" customFormat="1" x14ac:dyDescent="0.2">
      <c r="A72" s="50" t="s">
        <v>441</v>
      </c>
      <c r="B72" s="49"/>
      <c r="C72" s="49"/>
      <c r="D72" s="49"/>
      <c r="E72" s="49"/>
      <c r="F72" s="49"/>
      <c r="G72" s="49"/>
      <c r="H72" s="50">
        <v>4.2661458020000001E-2</v>
      </c>
      <c r="I72" s="49"/>
      <c r="J72" s="50">
        <v>0.21905250509999999</v>
      </c>
      <c r="K72" s="49"/>
      <c r="L72" s="50">
        <v>0.2267465545</v>
      </c>
      <c r="M72" s="49"/>
      <c r="N72" s="50">
        <v>0.23777539819999999</v>
      </c>
      <c r="O72" s="49"/>
      <c r="P72" s="50">
        <v>2.607182387E-2</v>
      </c>
      <c r="Q72" s="49"/>
      <c r="R72" s="50">
        <v>0.44334936559999999</v>
      </c>
      <c r="S72" s="49"/>
      <c r="T72" s="50">
        <v>0.1147286364</v>
      </c>
      <c r="U72" s="49"/>
      <c r="V72" s="50">
        <v>6.6278404880000004</v>
      </c>
      <c r="W72" s="49"/>
      <c r="X72" s="50">
        <v>6.5432708689999997</v>
      </c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50">
        <v>-10.231999999999999</v>
      </c>
      <c r="AO72" s="50">
        <v>3.8340579030000002E-2</v>
      </c>
      <c r="AP72" s="49"/>
      <c r="AQ72" s="50">
        <f>AVERAGE(AP73:AP77)</f>
        <v>-0.76400000000000001</v>
      </c>
      <c r="AR72" s="50">
        <v>0.14467204289999999</v>
      </c>
      <c r="AS72" s="49"/>
      <c r="AT72" s="50">
        <v>30.134</v>
      </c>
      <c r="AU72" s="50">
        <v>0.1489295135</v>
      </c>
      <c r="AV72" s="49"/>
      <c r="AW72" s="50">
        <v>0.61560000000000004</v>
      </c>
      <c r="AX72" s="50">
        <v>6.1367743969999999E-3</v>
      </c>
      <c r="AY72" s="51">
        <v>1.372224471E-2</v>
      </c>
      <c r="AZ72" s="51">
        <v>2.6758377190000002E-2</v>
      </c>
      <c r="BA72" s="49"/>
      <c r="BB72" s="50">
        <v>0.2278</v>
      </c>
      <c r="BC72" s="50">
        <v>9.5813047129999995E-2</v>
      </c>
      <c r="BD72" s="49"/>
      <c r="BE72" s="49"/>
      <c r="BF72" s="49"/>
      <c r="BG72" s="50">
        <v>17.96944104</v>
      </c>
      <c r="BH72" s="50">
        <v>1.943975547</v>
      </c>
      <c r="BI72" s="49"/>
      <c r="BJ72" s="50">
        <v>1.030752737</v>
      </c>
      <c r="BK72" s="49"/>
      <c r="BL72" s="50">
        <f>AVERAGE(BK73:BK77)</f>
        <v>-0.59955047637999992</v>
      </c>
      <c r="BM72" s="50">
        <f>STDEV(BK73:BK77)</f>
        <v>0.99991701773076402</v>
      </c>
    </row>
    <row r="73" spans="1:65" x14ac:dyDescent="0.2">
      <c r="A73" s="47" t="s">
        <v>67</v>
      </c>
      <c r="B73" s="53">
        <v>43280.774305555555</v>
      </c>
      <c r="C73" s="47" t="s">
        <v>69</v>
      </c>
      <c r="D73" s="47" t="s">
        <v>441</v>
      </c>
      <c r="E73" s="47" t="s">
        <v>70</v>
      </c>
      <c r="F73" s="53">
        <v>43243.041666666664</v>
      </c>
      <c r="G73" s="47">
        <v>-10.26</v>
      </c>
      <c r="H73" s="47">
        <v>0</v>
      </c>
      <c r="I73" s="47">
        <v>7.78</v>
      </c>
      <c r="J73" s="47">
        <v>0</v>
      </c>
      <c r="K73" s="47">
        <v>38.94</v>
      </c>
      <c r="L73" s="47">
        <v>0</v>
      </c>
      <c r="M73" s="47">
        <v>6.9950000000000001</v>
      </c>
      <c r="N73" s="47">
        <v>1.2E-2</v>
      </c>
      <c r="O73" s="47">
        <v>-0.38600000000000001</v>
      </c>
      <c r="P73" s="47">
        <v>1.2E-2</v>
      </c>
      <c r="Q73" s="47">
        <v>26.77</v>
      </c>
      <c r="R73" s="47">
        <v>5.6000000000000001E-2</v>
      </c>
      <c r="S73" s="47">
        <v>-0.59099999999999997</v>
      </c>
      <c r="T73" s="47">
        <v>5.6000000000000001E-2</v>
      </c>
      <c r="U73" s="47">
        <v>-14.885999999999999</v>
      </c>
      <c r="V73" s="47">
        <v>3.1589999999999998</v>
      </c>
      <c r="W73" s="47">
        <v>-34.796999999999997</v>
      </c>
      <c r="X73" s="47">
        <v>3.0960000000000001</v>
      </c>
      <c r="Y73" s="47">
        <v>-9.8618309949999993E-3</v>
      </c>
      <c r="Z73" s="47" t="s">
        <v>442</v>
      </c>
      <c r="AA73" s="47">
        <v>-0.317</v>
      </c>
      <c r="AB73" s="47">
        <v>1.052942901</v>
      </c>
      <c r="AC73" s="47">
        <v>0.9470235427</v>
      </c>
      <c r="AD73" s="47">
        <v>0.61399999999999999</v>
      </c>
      <c r="AE73" s="47">
        <v>0</v>
      </c>
      <c r="AF73" s="47">
        <v>-3.0744557509999999E-2</v>
      </c>
      <c r="AG73" s="47" t="s">
        <v>443</v>
      </c>
      <c r="AH73" s="47">
        <v>0.23200000000000001</v>
      </c>
      <c r="AI73" s="47">
        <v>1.1980828080000001</v>
      </c>
      <c r="AJ73" s="47">
        <v>0.255008236</v>
      </c>
      <c r="AK73" s="47">
        <v>0.53300000000000003</v>
      </c>
      <c r="AL73" s="47">
        <v>0</v>
      </c>
      <c r="AM73" s="47">
        <v>-10.199999999999999</v>
      </c>
      <c r="AN73" s="47"/>
      <c r="AO73" s="47"/>
      <c r="AP73" s="47">
        <v>-0.63</v>
      </c>
      <c r="AQ73" s="47"/>
      <c r="AR73" s="47"/>
      <c r="AS73" s="47">
        <v>30.27</v>
      </c>
      <c r="AT73" s="47"/>
      <c r="AU73" s="47"/>
      <c r="AV73" s="47">
        <v>0.61399999999999999</v>
      </c>
      <c r="AW73" s="47"/>
      <c r="AX73" s="47"/>
      <c r="AY73" s="47"/>
      <c r="AZ73" s="47"/>
      <c r="BA73" s="47">
        <v>0.53300000000000003</v>
      </c>
      <c r="BB73" s="47"/>
      <c r="BC73" s="47"/>
      <c r="BD73" s="47"/>
      <c r="BE73" s="47"/>
      <c r="BF73" s="47">
        <v>18.397594739999999</v>
      </c>
      <c r="BG73" s="47"/>
      <c r="BH73" s="47"/>
      <c r="BI73" s="47">
        <v>1.0306481679999999</v>
      </c>
      <c r="BJ73" s="47"/>
      <c r="BK73" s="47">
        <v>-0.366922902</v>
      </c>
      <c r="BL73" s="47"/>
      <c r="BM73" s="47"/>
    </row>
    <row r="74" spans="1:65" x14ac:dyDescent="0.2">
      <c r="A74" s="47" t="s">
        <v>81</v>
      </c>
      <c r="B74" s="53">
        <v>43299.962500000001</v>
      </c>
      <c r="C74" s="47" t="s">
        <v>69</v>
      </c>
      <c r="D74" s="47" t="s">
        <v>441</v>
      </c>
      <c r="E74" s="47" t="s">
        <v>70</v>
      </c>
      <c r="F74" s="53">
        <v>43243.041666666664</v>
      </c>
      <c r="G74" s="47">
        <v>-10.27</v>
      </c>
      <c r="H74" s="47">
        <v>0</v>
      </c>
      <c r="I74" s="47">
        <v>7.75</v>
      </c>
      <c r="J74" s="47">
        <v>0</v>
      </c>
      <c r="K74" s="47">
        <v>38.909999999999997</v>
      </c>
      <c r="L74" s="47">
        <v>0</v>
      </c>
      <c r="M74" s="47">
        <v>6.9480000000000004</v>
      </c>
      <c r="N74" s="47">
        <v>8.0000000000000002E-3</v>
      </c>
      <c r="O74" s="47">
        <v>-0.38</v>
      </c>
      <c r="P74" s="47">
        <v>8.0000000000000002E-3</v>
      </c>
      <c r="Q74" s="47">
        <v>26.74</v>
      </c>
      <c r="R74" s="47">
        <v>3.3000000000000002E-2</v>
      </c>
      <c r="S74" s="47">
        <v>-0.54900000000000004</v>
      </c>
      <c r="T74" s="47">
        <v>3.3000000000000002E-2</v>
      </c>
      <c r="U74" s="47">
        <v>-18.135000000000002</v>
      </c>
      <c r="V74" s="47">
        <v>3.0880000000000001</v>
      </c>
      <c r="W74" s="47">
        <v>-37.895000000000003</v>
      </c>
      <c r="X74" s="47">
        <v>3.0259999999999998</v>
      </c>
      <c r="Y74" s="47">
        <v>-1.010337148E-2</v>
      </c>
      <c r="Z74" s="47" t="s">
        <v>444</v>
      </c>
      <c r="AA74" s="47">
        <v>-0.31</v>
      </c>
      <c r="AB74" s="47">
        <v>1.032723021</v>
      </c>
      <c r="AC74" s="47">
        <v>0.92930997299999996</v>
      </c>
      <c r="AD74" s="47">
        <v>0.60899999999999999</v>
      </c>
      <c r="AE74" s="47">
        <v>0</v>
      </c>
      <c r="AF74" s="47">
        <v>-1.8895314149999998E-2</v>
      </c>
      <c r="AG74" s="47" t="s">
        <v>445</v>
      </c>
      <c r="AH74" s="47">
        <v>-4.2999999999999997E-2</v>
      </c>
      <c r="AI74" s="47">
        <v>0.63434640369999995</v>
      </c>
      <c r="AJ74" s="47">
        <v>0.19218312069999999</v>
      </c>
      <c r="AK74" s="47">
        <v>0.16500000000000001</v>
      </c>
      <c r="AL74" s="47">
        <v>0</v>
      </c>
      <c r="AM74" s="47">
        <v>-10.26</v>
      </c>
      <c r="AN74" s="47"/>
      <c r="AO74" s="47"/>
      <c r="AP74" s="47">
        <v>-0.7</v>
      </c>
      <c r="AQ74" s="47"/>
      <c r="AR74" s="47"/>
      <c r="AS74" s="47">
        <v>30.2</v>
      </c>
      <c r="AT74" s="47"/>
      <c r="AU74" s="47"/>
      <c r="AV74" s="47">
        <v>0.60899999999999999</v>
      </c>
      <c r="AW74" s="47"/>
      <c r="AX74" s="47"/>
      <c r="AY74" s="47"/>
      <c r="AZ74" s="47"/>
      <c r="BA74" s="47">
        <v>0.16500000000000001</v>
      </c>
      <c r="BB74" s="47"/>
      <c r="BC74" s="47"/>
      <c r="BD74" s="47"/>
      <c r="BE74" s="47"/>
      <c r="BF74" s="47">
        <v>19.99512777</v>
      </c>
      <c r="BG74" s="47"/>
      <c r="BH74" s="47"/>
      <c r="BI74" s="47">
        <v>1.030303768</v>
      </c>
      <c r="BJ74" s="47"/>
      <c r="BK74" s="47">
        <v>-0.10071638049999999</v>
      </c>
      <c r="BL74" s="47"/>
      <c r="BM74" s="47"/>
    </row>
    <row r="75" spans="1:65" x14ac:dyDescent="0.2">
      <c r="A75" s="47" t="s">
        <v>89</v>
      </c>
      <c r="B75" s="53">
        <v>43306.929861111108</v>
      </c>
      <c r="C75" s="47" t="s">
        <v>69</v>
      </c>
      <c r="D75" s="47" t="s">
        <v>441</v>
      </c>
      <c r="E75" s="47" t="s">
        <v>70</v>
      </c>
      <c r="F75" s="53">
        <v>43243.041666666664</v>
      </c>
      <c r="G75" s="47">
        <v>-10.199999999999999</v>
      </c>
      <c r="H75" s="47">
        <v>0</v>
      </c>
      <c r="I75" s="47">
        <v>7.73</v>
      </c>
      <c r="J75" s="47">
        <v>0</v>
      </c>
      <c r="K75" s="47">
        <v>38.89</v>
      </c>
      <c r="L75" s="47">
        <v>0</v>
      </c>
      <c r="M75" s="47">
        <v>7.0179999999999998</v>
      </c>
      <c r="N75" s="47">
        <v>8.0000000000000002E-3</v>
      </c>
      <c r="O75" s="47">
        <v>-0.36499999999999999</v>
      </c>
      <c r="P75" s="47">
        <v>8.0000000000000002E-3</v>
      </c>
      <c r="Q75" s="47">
        <v>26.175999999999998</v>
      </c>
      <c r="R75" s="47">
        <v>9.9000000000000005E-2</v>
      </c>
      <c r="S75" s="47">
        <v>-1.07</v>
      </c>
      <c r="T75" s="47">
        <v>9.7000000000000003E-2</v>
      </c>
      <c r="U75" s="47">
        <v>-20.802</v>
      </c>
      <c r="V75" s="47">
        <v>3.4009999999999998</v>
      </c>
      <c r="W75" s="47">
        <v>-40.549999999999997</v>
      </c>
      <c r="X75" s="47">
        <v>3.3330000000000002</v>
      </c>
      <c r="Y75" s="47">
        <v>-1.014892331E-2</v>
      </c>
      <c r="Z75" s="47" t="s">
        <v>446</v>
      </c>
      <c r="AA75" s="47">
        <v>-0.29399999999999998</v>
      </c>
      <c r="AB75" s="47">
        <v>1.037751506</v>
      </c>
      <c r="AC75" s="47">
        <v>0.93243343590000005</v>
      </c>
      <c r="AD75" s="47">
        <v>0.628</v>
      </c>
      <c r="AE75" s="47">
        <v>0</v>
      </c>
      <c r="AF75" s="47">
        <v>-2.6202725570000002E-2</v>
      </c>
      <c r="AG75" s="47" t="s">
        <v>447</v>
      </c>
      <c r="AH75" s="47">
        <v>-0.38400000000000001</v>
      </c>
      <c r="AI75" s="47">
        <v>0.68100893890000003</v>
      </c>
      <c r="AJ75" s="47">
        <v>0.1999397178</v>
      </c>
      <c r="AK75" s="47">
        <v>-6.2E-2</v>
      </c>
      <c r="AL75" s="47">
        <v>0</v>
      </c>
      <c r="AM75" s="47">
        <v>-10.19</v>
      </c>
      <c r="AN75" s="47"/>
      <c r="AO75" s="47"/>
      <c r="AP75" s="47">
        <v>-0.74</v>
      </c>
      <c r="AQ75" s="47"/>
      <c r="AR75" s="47"/>
      <c r="AS75" s="47">
        <v>30.16</v>
      </c>
      <c r="AT75" s="47"/>
      <c r="AU75" s="47"/>
      <c r="AV75" s="47">
        <v>0.628</v>
      </c>
      <c r="AW75" s="47"/>
      <c r="AX75" s="47"/>
      <c r="AY75" s="47"/>
      <c r="AZ75" s="47"/>
      <c r="BA75" s="47">
        <v>-6.2E-2</v>
      </c>
      <c r="BB75" s="47"/>
      <c r="BC75" s="47"/>
      <c r="BD75" s="47"/>
      <c r="BE75" s="47"/>
      <c r="BF75" s="47">
        <v>14.05976912</v>
      </c>
      <c r="BG75" s="47"/>
      <c r="BH75" s="47"/>
      <c r="BI75" s="47">
        <v>1.0316032550000001</v>
      </c>
      <c r="BJ75" s="47"/>
      <c r="BK75" s="47">
        <v>-1.399040278</v>
      </c>
      <c r="BL75" s="47"/>
      <c r="BM75" s="47"/>
    </row>
    <row r="76" spans="1:65" x14ac:dyDescent="0.2">
      <c r="A76" s="47" t="s">
        <v>355</v>
      </c>
      <c r="B76" s="53">
        <v>43395.720138888886</v>
      </c>
      <c r="C76" s="47" t="s">
        <v>69</v>
      </c>
      <c r="D76" s="47" t="s">
        <v>441</v>
      </c>
      <c r="E76" s="47" t="s">
        <v>70</v>
      </c>
      <c r="F76" s="53">
        <v>43387.808333333334</v>
      </c>
      <c r="G76" s="47">
        <v>-10.42</v>
      </c>
      <c r="H76" s="47">
        <v>0</v>
      </c>
      <c r="I76" s="47">
        <v>6.63</v>
      </c>
      <c r="J76" s="47">
        <v>0</v>
      </c>
      <c r="K76" s="47">
        <v>37.75</v>
      </c>
      <c r="L76" s="47">
        <v>0</v>
      </c>
      <c r="M76" s="47">
        <v>5.7930000000000001</v>
      </c>
      <c r="N76" s="47">
        <v>0.01</v>
      </c>
      <c r="O76" s="47">
        <v>-0.25</v>
      </c>
      <c r="P76" s="47">
        <v>0.01</v>
      </c>
      <c r="Q76" s="47">
        <v>24.419</v>
      </c>
      <c r="R76" s="47">
        <v>4.2999999999999997E-2</v>
      </c>
      <c r="S76" s="47">
        <v>-0.58799999999999997</v>
      </c>
      <c r="T76" s="47">
        <v>4.3999999999999997E-2</v>
      </c>
      <c r="U76" s="47">
        <v>-20.901</v>
      </c>
      <c r="V76" s="47">
        <v>4.657</v>
      </c>
      <c r="W76" s="47">
        <v>-38.323</v>
      </c>
      <c r="X76" s="47">
        <v>4.5750000000000002</v>
      </c>
      <c r="Y76" s="47">
        <v>-8.8688774899999996E-3</v>
      </c>
      <c r="Z76" s="47" t="s">
        <v>448</v>
      </c>
      <c r="AA76" s="47">
        <v>-0.19800000000000001</v>
      </c>
      <c r="AB76" s="47">
        <v>1.1243344280000001</v>
      </c>
      <c r="AC76" s="47">
        <v>0.8533245908</v>
      </c>
      <c r="AD76" s="47">
        <v>0.63</v>
      </c>
      <c r="AE76" s="47">
        <v>0</v>
      </c>
      <c r="AF76" s="47">
        <v>-2.1282790400000001E-2</v>
      </c>
      <c r="AG76" s="47" t="s">
        <v>449</v>
      </c>
      <c r="AH76" s="47">
        <v>-6.8000000000000005E-2</v>
      </c>
      <c r="AI76" s="47">
        <v>0.78606619580000003</v>
      </c>
      <c r="AJ76" s="47">
        <v>0.27819339920000002</v>
      </c>
      <c r="AK76" s="47">
        <v>0.22500000000000001</v>
      </c>
      <c r="AL76" s="47">
        <v>0</v>
      </c>
      <c r="AM76" s="47">
        <v>-10.23</v>
      </c>
      <c r="AN76" s="47"/>
      <c r="AO76" s="47"/>
      <c r="AP76" s="47">
        <v>-1.01</v>
      </c>
      <c r="AQ76" s="47"/>
      <c r="AR76" s="47"/>
      <c r="AS76" s="47">
        <v>29.88</v>
      </c>
      <c r="AT76" s="47"/>
      <c r="AU76" s="47"/>
      <c r="AV76" s="47">
        <v>0.63</v>
      </c>
      <c r="AW76" s="47"/>
      <c r="AX76" s="47"/>
      <c r="AY76" s="47"/>
      <c r="AZ76" s="47"/>
      <c r="BA76" s="47">
        <v>0.22500000000000001</v>
      </c>
      <c r="BB76" s="47"/>
      <c r="BC76" s="47"/>
      <c r="BD76" s="47"/>
      <c r="BE76" s="47"/>
      <c r="BF76" s="47">
        <v>13.455752110000001</v>
      </c>
      <c r="BG76" s="47"/>
      <c r="BH76" s="47"/>
      <c r="BI76" s="47">
        <v>1.031738609</v>
      </c>
      <c r="BJ76" s="47"/>
      <c r="BK76" s="47">
        <v>-1.801434317</v>
      </c>
      <c r="BL76" s="47"/>
      <c r="BM76" s="47"/>
    </row>
    <row r="77" spans="1:65" x14ac:dyDescent="0.2">
      <c r="A77" s="47" t="s">
        <v>400</v>
      </c>
      <c r="B77" s="53">
        <v>43545.03125</v>
      </c>
      <c r="C77" s="47" t="s">
        <v>69</v>
      </c>
      <c r="D77" s="47" t="s">
        <v>441</v>
      </c>
      <c r="E77" s="47" t="s">
        <v>70</v>
      </c>
      <c r="F77" s="53">
        <v>43540.749305555553</v>
      </c>
      <c r="G77" s="47">
        <v>-10.4</v>
      </c>
      <c r="H77" s="47">
        <v>0</v>
      </c>
      <c r="I77" s="47">
        <v>7.35</v>
      </c>
      <c r="J77" s="47">
        <v>0</v>
      </c>
      <c r="K77" s="47">
        <v>38.5</v>
      </c>
      <c r="L77" s="47">
        <v>0</v>
      </c>
      <c r="M77" s="47">
        <v>6.4169999999999998</v>
      </c>
      <c r="N77" s="47">
        <v>1.0999999999999999E-2</v>
      </c>
      <c r="O77" s="47">
        <v>-0.38500000000000001</v>
      </c>
      <c r="P77" s="47">
        <v>1.2E-2</v>
      </c>
      <c r="Q77" s="47">
        <v>25.452999999999999</v>
      </c>
      <c r="R77" s="47">
        <v>6.0999999999999999E-2</v>
      </c>
      <c r="S77" s="47">
        <v>-1.014</v>
      </c>
      <c r="T77" s="47">
        <v>0.06</v>
      </c>
      <c r="U77" s="47">
        <v>14</v>
      </c>
      <c r="V77" s="47">
        <v>2.57</v>
      </c>
      <c r="W77" s="47">
        <v>-5.4980000000000002</v>
      </c>
      <c r="X77" s="47">
        <v>2.5209999999999999</v>
      </c>
      <c r="Y77" s="47">
        <v>-9.5816022200000007E-3</v>
      </c>
      <c r="Z77" s="47" t="s">
        <v>450</v>
      </c>
      <c r="AA77" s="47">
        <v>-0.32300000000000001</v>
      </c>
      <c r="AB77" s="47">
        <v>1.03974185</v>
      </c>
      <c r="AC77" s="47">
        <v>0.93291620939999997</v>
      </c>
      <c r="AD77" s="47">
        <v>0.59699999999999998</v>
      </c>
      <c r="AE77" s="47">
        <v>0</v>
      </c>
      <c r="AF77" s="47">
        <v>-3.495502415E-2</v>
      </c>
      <c r="AG77" s="47" t="s">
        <v>451</v>
      </c>
      <c r="AH77" s="47">
        <v>-0.124</v>
      </c>
      <c r="AI77" s="47">
        <v>0.71035451940000005</v>
      </c>
      <c r="AJ77" s="47">
        <v>0.365642209</v>
      </c>
      <c r="AK77" s="47">
        <v>0.27800000000000002</v>
      </c>
      <c r="AL77" s="47">
        <v>0</v>
      </c>
      <c r="AM77" s="47">
        <v>-10.28</v>
      </c>
      <c r="AN77" s="47"/>
      <c r="AO77" s="47"/>
      <c r="AP77" s="47">
        <v>-0.74</v>
      </c>
      <c r="AQ77" s="47"/>
      <c r="AR77" s="47"/>
      <c r="AS77" s="47">
        <v>30.16</v>
      </c>
      <c r="AT77" s="47"/>
      <c r="AU77" s="47"/>
      <c r="AV77" s="47">
        <v>0.59699999999999998</v>
      </c>
      <c r="AW77" s="47"/>
      <c r="AX77" s="47"/>
      <c r="AY77" s="47"/>
      <c r="AZ77" s="47"/>
      <c r="BA77" s="47">
        <v>0.27800000000000002</v>
      </c>
      <c r="BB77" s="47"/>
      <c r="BC77" s="47"/>
      <c r="BD77" s="47"/>
      <c r="BE77" s="47"/>
      <c r="BF77" s="47">
        <v>23.938961450000001</v>
      </c>
      <c r="BG77" s="47"/>
      <c r="BH77" s="47"/>
      <c r="BI77" s="47">
        <v>1.029469883</v>
      </c>
      <c r="BJ77" s="47"/>
      <c r="BK77" s="47">
        <v>0.67036149560000002</v>
      </c>
      <c r="BL77" s="47"/>
      <c r="BM77" s="47"/>
    </row>
    <row r="78" spans="1:65" x14ac:dyDescent="0.2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</row>
    <row r="79" spans="1:65" s="57" customFormat="1" x14ac:dyDescent="0.2">
      <c r="A79" s="55" t="s">
        <v>452</v>
      </c>
      <c r="B79" s="54"/>
      <c r="C79" s="54"/>
      <c r="D79" s="54"/>
      <c r="E79" s="54"/>
      <c r="F79" s="54"/>
      <c r="G79" s="54"/>
      <c r="H79" s="55">
        <v>0.02</v>
      </c>
      <c r="I79" s="54"/>
      <c r="J79" s="55">
        <v>0.03</v>
      </c>
      <c r="K79" s="54"/>
      <c r="L79" s="55">
        <v>0.03</v>
      </c>
      <c r="M79" s="54"/>
      <c r="N79" s="55">
        <v>5.2499999999999998E-2</v>
      </c>
      <c r="O79" s="54"/>
      <c r="P79" s="55">
        <v>5.0000000000000001E-4</v>
      </c>
      <c r="Q79" s="54"/>
      <c r="R79" s="55">
        <v>4.9000000000000002E-2</v>
      </c>
      <c r="S79" s="54"/>
      <c r="T79" s="55">
        <v>1.4999999999999999E-2</v>
      </c>
      <c r="U79" s="54"/>
      <c r="V79" s="55">
        <v>1.3765000000000001</v>
      </c>
      <c r="W79" s="54"/>
      <c r="X79" s="55">
        <v>1.262</v>
      </c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5">
        <v>-4.9550000000000001</v>
      </c>
      <c r="AO79" s="55">
        <v>2.1213203440000002E-2</v>
      </c>
      <c r="AP79" s="54"/>
      <c r="AQ79" s="55">
        <v>-5.0000000000000001E-3</v>
      </c>
      <c r="AR79" s="55">
        <v>6.3639610309999997E-2</v>
      </c>
      <c r="AS79" s="54"/>
      <c r="AT79" s="55">
        <v>30.91</v>
      </c>
      <c r="AU79" s="55">
        <v>7.0710678119999995E-2</v>
      </c>
      <c r="AV79" s="54"/>
      <c r="AW79" s="55">
        <v>0.53049999999999997</v>
      </c>
      <c r="AX79" s="55">
        <v>6.4999999999999997E-3</v>
      </c>
      <c r="AY79" s="56">
        <v>9.1923881549999999E-3</v>
      </c>
      <c r="AZ79" s="56">
        <v>1.7925156899999999E-2</v>
      </c>
      <c r="BA79" s="54"/>
      <c r="BB79" s="55">
        <v>0.41649999999999998</v>
      </c>
      <c r="BC79" s="55">
        <v>0.15049999999999999</v>
      </c>
      <c r="BD79" s="54"/>
      <c r="BE79" s="54"/>
      <c r="BF79" s="54"/>
      <c r="BG79" s="55">
        <v>49.145645369999997</v>
      </c>
      <c r="BH79" s="55">
        <v>2.78230786</v>
      </c>
      <c r="BI79" s="54"/>
      <c r="BJ79" s="55">
        <v>1.02463993</v>
      </c>
      <c r="BK79" s="54"/>
      <c r="BL79" s="55">
        <v>6.119545005</v>
      </c>
      <c r="BM79" s="55">
        <v>0.75050223390000004</v>
      </c>
    </row>
    <row r="80" spans="1:65" x14ac:dyDescent="0.2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</row>
    <row r="81" spans="1:65" s="52" customFormat="1" x14ac:dyDescent="0.2">
      <c r="A81" s="50" t="s">
        <v>453</v>
      </c>
      <c r="B81" s="49"/>
      <c r="C81" s="49"/>
      <c r="D81" s="49"/>
      <c r="E81" s="49"/>
      <c r="F81" s="49"/>
      <c r="G81" s="49"/>
      <c r="H81" s="50">
        <v>5.921359641E-2</v>
      </c>
      <c r="I81" s="49"/>
      <c r="J81" s="50">
        <v>0.13699148389999999</v>
      </c>
      <c r="K81" s="49"/>
      <c r="L81" s="50">
        <v>0.1404160485</v>
      </c>
      <c r="M81" s="49"/>
      <c r="N81" s="50">
        <v>0.19237160219999999</v>
      </c>
      <c r="O81" s="49"/>
      <c r="P81" s="50">
        <v>9.2048447390000003E-3</v>
      </c>
      <c r="Q81" s="49"/>
      <c r="R81" s="50">
        <v>0.28244645509999999</v>
      </c>
      <c r="S81" s="49"/>
      <c r="T81" s="50">
        <v>3.1602676570000002E-2</v>
      </c>
      <c r="U81" s="49"/>
      <c r="V81" s="50">
        <v>0.58832459859999997</v>
      </c>
      <c r="W81" s="49"/>
      <c r="X81" s="50">
        <v>0.77780849990000001</v>
      </c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50">
        <v>-8.1649999999999991</v>
      </c>
      <c r="AO81" s="50">
        <v>0.15264337519999999</v>
      </c>
      <c r="AP81" s="49"/>
      <c r="AQ81" s="50">
        <f>AVERAGE(AP82:AP85)</f>
        <v>-0.95</v>
      </c>
      <c r="AR81" s="50">
        <v>0.33296646479999997</v>
      </c>
      <c r="AS81" s="49"/>
      <c r="AT81" s="50">
        <v>29.94</v>
      </c>
      <c r="AU81" s="50">
        <v>0.34641016149999998</v>
      </c>
      <c r="AV81" s="49"/>
      <c r="AW81" s="50">
        <v>0.63100000000000001</v>
      </c>
      <c r="AX81" s="50">
        <v>4.3588989439999996E-3</v>
      </c>
      <c r="AY81" s="51">
        <v>8.7177978870000006E-3</v>
      </c>
      <c r="AZ81" s="51">
        <v>1.699970588E-2</v>
      </c>
      <c r="BA81" s="49"/>
      <c r="BB81" s="50">
        <v>0.308</v>
      </c>
      <c r="BC81" s="50">
        <v>0.10943567360000001</v>
      </c>
      <c r="BD81" s="49"/>
      <c r="BE81" s="49"/>
      <c r="BF81" s="49"/>
      <c r="BG81" s="50">
        <v>13.182211819999999</v>
      </c>
      <c r="BH81" s="50">
        <v>1.31455689</v>
      </c>
      <c r="BI81" s="49"/>
      <c r="BJ81" s="50">
        <v>1.0318042890000001</v>
      </c>
      <c r="BK81" s="49"/>
      <c r="BL81" s="50">
        <f>AVERAGE(BK82:BK85)</f>
        <v>-1.8065034232250001</v>
      </c>
      <c r="BM81" s="50">
        <f>STDEV(BK82:BK85)</f>
        <v>0.80049874491705098</v>
      </c>
    </row>
    <row r="82" spans="1:65" x14ac:dyDescent="0.2">
      <c r="A82" s="47" t="s">
        <v>67</v>
      </c>
      <c r="B82" s="53">
        <v>43281.069444444445</v>
      </c>
      <c r="C82" s="47" t="s">
        <v>69</v>
      </c>
      <c r="D82" s="47" t="s">
        <v>453</v>
      </c>
      <c r="E82" s="47" t="s">
        <v>70</v>
      </c>
      <c r="F82" s="53">
        <v>43243.041666666664</v>
      </c>
      <c r="G82" s="47">
        <v>-8.17</v>
      </c>
      <c r="H82" s="47">
        <v>0</v>
      </c>
      <c r="I82" s="47">
        <v>7.56</v>
      </c>
      <c r="J82" s="47">
        <v>0</v>
      </c>
      <c r="K82" s="47">
        <v>38.72</v>
      </c>
      <c r="L82" s="47">
        <v>0</v>
      </c>
      <c r="M82" s="47">
        <v>8.8130000000000006</v>
      </c>
      <c r="N82" s="47">
        <v>0.01</v>
      </c>
      <c r="O82" s="47">
        <v>-0.39700000000000002</v>
      </c>
      <c r="P82" s="47">
        <v>0.01</v>
      </c>
      <c r="Q82" s="47">
        <v>26.43</v>
      </c>
      <c r="R82" s="47">
        <v>7.2999999999999995E-2</v>
      </c>
      <c r="S82" s="47">
        <v>-0.49399999999999999</v>
      </c>
      <c r="T82" s="47">
        <v>7.3999999999999996E-2</v>
      </c>
      <c r="U82" s="47">
        <v>-20.401</v>
      </c>
      <c r="V82" s="47">
        <v>2.399</v>
      </c>
      <c r="W82" s="47">
        <v>-41.805</v>
      </c>
      <c r="X82" s="47">
        <v>2.347</v>
      </c>
      <c r="Y82" s="47">
        <v>-9.8618309949999993E-3</v>
      </c>
      <c r="Z82" s="47" t="s">
        <v>454</v>
      </c>
      <c r="AA82" s="47">
        <v>-0.31</v>
      </c>
      <c r="AB82" s="47">
        <v>1.052942901</v>
      </c>
      <c r="AC82" s="47">
        <v>0.9470235427</v>
      </c>
      <c r="AD82" s="47">
        <v>0.62</v>
      </c>
      <c r="AE82" s="47">
        <v>0</v>
      </c>
      <c r="AF82" s="47">
        <v>-3.0744557509999999E-2</v>
      </c>
      <c r="AG82" s="47" t="s">
        <v>455</v>
      </c>
      <c r="AH82" s="47">
        <v>0.318</v>
      </c>
      <c r="AI82" s="47">
        <v>1.1980828080000001</v>
      </c>
      <c r="AJ82" s="47">
        <v>0.255008236</v>
      </c>
      <c r="AK82" s="47">
        <v>0.63600000000000001</v>
      </c>
      <c r="AL82" s="47">
        <v>0</v>
      </c>
      <c r="AM82" s="47">
        <v>-8.11</v>
      </c>
      <c r="AN82" s="47"/>
      <c r="AO82" s="47"/>
      <c r="AP82" s="47">
        <v>-0.85</v>
      </c>
      <c r="AQ82" s="47"/>
      <c r="AR82" s="47"/>
      <c r="AS82" s="47">
        <v>30.04</v>
      </c>
      <c r="AT82" s="47"/>
      <c r="AU82" s="47"/>
      <c r="AV82" s="47">
        <v>0.62</v>
      </c>
      <c r="AW82" s="47"/>
      <c r="AX82" s="47"/>
      <c r="AY82" s="47"/>
      <c r="AZ82" s="47"/>
      <c r="BA82" s="47">
        <v>0.63600000000000001</v>
      </c>
      <c r="BB82" s="47"/>
      <c r="BC82" s="47"/>
      <c r="BD82" s="47"/>
      <c r="BE82" s="47"/>
      <c r="BF82" s="47">
        <v>16.514598110000001</v>
      </c>
      <c r="BG82" s="47"/>
      <c r="BH82" s="47"/>
      <c r="BI82" s="47">
        <v>1.031059138</v>
      </c>
      <c r="BJ82" s="47"/>
      <c r="BK82" s="47">
        <v>-0.98843751290000004</v>
      </c>
      <c r="BL82" s="47"/>
      <c r="BM82" s="47"/>
    </row>
    <row r="83" spans="1:65" x14ac:dyDescent="0.2">
      <c r="A83" s="47" t="s">
        <v>81</v>
      </c>
      <c r="B83" s="53">
        <v>43314.987500000003</v>
      </c>
      <c r="C83" s="47" t="s">
        <v>69</v>
      </c>
      <c r="D83" s="47" t="s">
        <v>453</v>
      </c>
      <c r="E83" s="47" t="s">
        <v>70</v>
      </c>
      <c r="F83" s="53">
        <v>43313.37222222222</v>
      </c>
      <c r="G83" s="47">
        <v>-8.17</v>
      </c>
      <c r="H83" s="47">
        <v>0</v>
      </c>
      <c r="I83" s="47">
        <v>7.6</v>
      </c>
      <c r="J83" s="47">
        <v>0</v>
      </c>
      <c r="K83" s="47">
        <v>38.75</v>
      </c>
      <c r="L83" s="47">
        <v>0</v>
      </c>
      <c r="M83" s="47">
        <v>8.8680000000000003</v>
      </c>
      <c r="N83" s="47">
        <v>1.2E-2</v>
      </c>
      <c r="O83" s="47">
        <v>-0.372</v>
      </c>
      <c r="P83" s="47">
        <v>1.2E-2</v>
      </c>
      <c r="Q83" s="47">
        <v>26.373999999999999</v>
      </c>
      <c r="R83" s="47">
        <v>5.6000000000000001E-2</v>
      </c>
      <c r="S83" s="47">
        <v>-0.61599999999999999</v>
      </c>
      <c r="T83" s="47">
        <v>5.6000000000000001E-2</v>
      </c>
      <c r="U83" s="47">
        <v>-17.911999999999999</v>
      </c>
      <c r="V83" s="47">
        <v>2.6280000000000001</v>
      </c>
      <c r="W83" s="47">
        <v>-39.43</v>
      </c>
      <c r="X83" s="47">
        <v>2.573</v>
      </c>
      <c r="Y83" s="47">
        <v>-9.9238529080000002E-3</v>
      </c>
      <c r="Z83" s="47" t="s">
        <v>456</v>
      </c>
      <c r="AA83" s="47">
        <v>-0.28399999999999997</v>
      </c>
      <c r="AB83" s="47">
        <v>0.97286065489999995</v>
      </c>
      <c r="AC83" s="47">
        <v>0.90426000049999999</v>
      </c>
      <c r="AD83" s="47">
        <v>0.628</v>
      </c>
      <c r="AE83" s="47">
        <v>0</v>
      </c>
      <c r="AF83" s="47">
        <v>-1.9226983350000001E-2</v>
      </c>
      <c r="AG83" s="47" t="s">
        <v>457</v>
      </c>
      <c r="AH83" s="47">
        <v>-0.109</v>
      </c>
      <c r="AI83" s="47">
        <v>0.72767864859999998</v>
      </c>
      <c r="AJ83" s="47">
        <v>0.2909806016</v>
      </c>
      <c r="AK83" s="47">
        <v>0.21199999999999999</v>
      </c>
      <c r="AL83" s="47">
        <v>0</v>
      </c>
      <c r="AM83" s="47">
        <v>-8.0500000000000007</v>
      </c>
      <c r="AN83" s="47"/>
      <c r="AO83" s="47"/>
      <c r="AP83" s="47">
        <v>-0.66</v>
      </c>
      <c r="AQ83" s="47"/>
      <c r="AR83" s="47"/>
      <c r="AS83" s="47">
        <v>30.24</v>
      </c>
      <c r="AT83" s="47"/>
      <c r="AU83" s="47"/>
      <c r="AV83" s="47">
        <v>0.628</v>
      </c>
      <c r="AW83" s="47"/>
      <c r="AX83" s="47"/>
      <c r="AY83" s="47"/>
      <c r="AZ83" s="47"/>
      <c r="BA83" s="47">
        <v>0.21199999999999999</v>
      </c>
      <c r="BB83" s="47"/>
      <c r="BC83" s="47"/>
      <c r="BD83" s="47"/>
      <c r="BE83" s="47"/>
      <c r="BF83" s="47">
        <v>14.05976912</v>
      </c>
      <c r="BG83" s="47"/>
      <c r="BH83" s="47"/>
      <c r="BI83" s="47">
        <v>1.0316032550000001</v>
      </c>
      <c r="BJ83" s="47"/>
      <c r="BK83" s="47">
        <v>-1.3214910849999999</v>
      </c>
      <c r="BL83" s="47"/>
      <c r="BM83" s="47"/>
    </row>
    <row r="84" spans="1:65" x14ac:dyDescent="0.2">
      <c r="A84" s="47" t="s">
        <v>89</v>
      </c>
      <c r="B84" s="53">
        <v>43321.680555555555</v>
      </c>
      <c r="C84" s="47" t="s">
        <v>69</v>
      </c>
      <c r="D84" s="47" t="s">
        <v>453</v>
      </c>
      <c r="E84" s="47" t="s">
        <v>70</v>
      </c>
      <c r="F84" s="53">
        <v>43313.37222222222</v>
      </c>
      <c r="G84" s="47">
        <v>-8.23</v>
      </c>
      <c r="H84" s="47">
        <v>0</v>
      </c>
      <c r="I84" s="47">
        <v>7.4</v>
      </c>
      <c r="J84" s="47">
        <v>0</v>
      </c>
      <c r="K84" s="47">
        <v>38.549999999999997</v>
      </c>
      <c r="L84" s="47">
        <v>0</v>
      </c>
      <c r="M84" s="47">
        <v>8.6270000000000007</v>
      </c>
      <c r="N84" s="47">
        <v>6.0000000000000001E-3</v>
      </c>
      <c r="O84" s="47">
        <v>-0.35899999999999999</v>
      </c>
      <c r="P84" s="47">
        <v>7.0000000000000001E-3</v>
      </c>
      <c r="Q84" s="47">
        <v>25.95</v>
      </c>
      <c r="R84" s="47">
        <v>6.3E-2</v>
      </c>
      <c r="S84" s="47">
        <v>-0.63600000000000001</v>
      </c>
      <c r="T84" s="47">
        <v>6.2E-2</v>
      </c>
      <c r="U84" s="47">
        <v>-18.614000000000001</v>
      </c>
      <c r="V84" s="47">
        <v>1.8149999999999999</v>
      </c>
      <c r="W84" s="47">
        <v>-39.688000000000002</v>
      </c>
      <c r="X84" s="47">
        <v>1.774</v>
      </c>
      <c r="Y84" s="47">
        <v>-9.9238529080000002E-3</v>
      </c>
      <c r="Z84" s="47" t="s">
        <v>458</v>
      </c>
      <c r="AA84" s="47">
        <v>-0.27400000000000002</v>
      </c>
      <c r="AB84" s="47">
        <v>0.97286065489999995</v>
      </c>
      <c r="AC84" s="47">
        <v>0.90426000049999999</v>
      </c>
      <c r="AD84" s="47">
        <v>0.63800000000000001</v>
      </c>
      <c r="AE84" s="47">
        <v>0</v>
      </c>
      <c r="AF84" s="47">
        <v>-1.9226983350000001E-2</v>
      </c>
      <c r="AG84" s="47" t="s">
        <v>459</v>
      </c>
      <c r="AH84" s="47">
        <v>-0.13700000000000001</v>
      </c>
      <c r="AI84" s="47">
        <v>0.72767864859999998</v>
      </c>
      <c r="AJ84" s="47">
        <v>0.2909806016</v>
      </c>
      <c r="AK84" s="47">
        <v>0.191</v>
      </c>
      <c r="AL84" s="47">
        <v>0</v>
      </c>
      <c r="AM84" s="47">
        <v>-8.11</v>
      </c>
      <c r="AN84" s="47"/>
      <c r="AO84" s="47"/>
      <c r="AP84" s="47">
        <v>-0.86</v>
      </c>
      <c r="AQ84" s="47"/>
      <c r="AR84" s="47"/>
      <c r="AS84" s="47">
        <v>30.04</v>
      </c>
      <c r="AT84" s="47"/>
      <c r="AU84" s="47"/>
      <c r="AV84" s="47">
        <v>0.63800000000000001</v>
      </c>
      <c r="AW84" s="47"/>
      <c r="AX84" s="47"/>
      <c r="AY84" s="47"/>
      <c r="AZ84" s="47"/>
      <c r="BA84" s="47">
        <v>0.191</v>
      </c>
      <c r="BB84" s="47"/>
      <c r="BC84" s="47"/>
      <c r="BD84" s="47"/>
      <c r="BE84" s="47"/>
      <c r="BF84" s="47">
        <v>11.07724002</v>
      </c>
      <c r="BG84" s="47"/>
      <c r="BH84" s="47"/>
      <c r="BI84" s="47">
        <v>1.032277382</v>
      </c>
      <c r="BJ84" s="47"/>
      <c r="BK84" s="47">
        <v>-2.1674229860000001</v>
      </c>
      <c r="BL84" s="47"/>
      <c r="BM84" s="47"/>
    </row>
    <row r="85" spans="1:65" x14ac:dyDescent="0.2">
      <c r="A85" s="47" t="s">
        <v>355</v>
      </c>
      <c r="B85" s="53">
        <v>43328.047222222223</v>
      </c>
      <c r="C85" s="47" t="s">
        <v>69</v>
      </c>
      <c r="D85" s="47" t="s">
        <v>453</v>
      </c>
      <c r="E85" s="47" t="s">
        <v>70</v>
      </c>
      <c r="F85" s="53">
        <v>43326.330555555556</v>
      </c>
      <c r="G85" s="47">
        <v>-8.42</v>
      </c>
      <c r="H85" s="47">
        <v>0</v>
      </c>
      <c r="I85" s="47">
        <v>7</v>
      </c>
      <c r="J85" s="47">
        <v>0</v>
      </c>
      <c r="K85" s="47">
        <v>38.14</v>
      </c>
      <c r="L85" s="47">
        <v>0</v>
      </c>
      <c r="M85" s="47">
        <v>8.0280000000000005</v>
      </c>
      <c r="N85" s="47">
        <v>1.2E-2</v>
      </c>
      <c r="O85" s="47">
        <v>-0.35699999999999998</v>
      </c>
      <c r="P85" s="47">
        <v>1.2E-2</v>
      </c>
      <c r="Q85" s="47">
        <v>25.206</v>
      </c>
      <c r="R85" s="47">
        <v>7.5999999999999998E-2</v>
      </c>
      <c r="S85" s="47">
        <v>-0.56699999999999995</v>
      </c>
      <c r="T85" s="47">
        <v>7.4999999999999997E-2</v>
      </c>
      <c r="U85" s="47">
        <v>-17.905000000000001</v>
      </c>
      <c r="V85" s="47">
        <v>3.1480000000000001</v>
      </c>
      <c r="W85" s="47">
        <v>-38.037999999999997</v>
      </c>
      <c r="X85" s="47">
        <v>3.085</v>
      </c>
      <c r="Y85" s="47">
        <v>-9.818082669E-3</v>
      </c>
      <c r="Z85" s="47" t="s">
        <v>460</v>
      </c>
      <c r="AA85" s="47">
        <v>-0.27800000000000002</v>
      </c>
      <c r="AB85" s="47">
        <v>1.079318851</v>
      </c>
      <c r="AC85" s="47">
        <v>0.93750287389999998</v>
      </c>
      <c r="AD85" s="47">
        <v>0.63800000000000001</v>
      </c>
      <c r="AE85" s="47">
        <v>0</v>
      </c>
      <c r="AF85" s="47">
        <v>-1.9032470060000001E-2</v>
      </c>
      <c r="AG85" s="47" t="s">
        <v>461</v>
      </c>
      <c r="AH85" s="47">
        <v>-8.6999999999999994E-2</v>
      </c>
      <c r="AI85" s="47">
        <v>1.512578867</v>
      </c>
      <c r="AJ85" s="47">
        <v>0.3253919971</v>
      </c>
      <c r="AK85" s="47">
        <v>0.193</v>
      </c>
      <c r="AL85" s="47">
        <v>0</v>
      </c>
      <c r="AM85" s="47">
        <v>-8.39</v>
      </c>
      <c r="AN85" s="47"/>
      <c r="AO85" s="47"/>
      <c r="AP85" s="47">
        <v>-1.43</v>
      </c>
      <c r="AQ85" s="47"/>
      <c r="AR85" s="47"/>
      <c r="AS85" s="47">
        <v>29.44</v>
      </c>
      <c r="AT85" s="47"/>
      <c r="AU85" s="47"/>
      <c r="AV85" s="47">
        <v>0.63800000000000001</v>
      </c>
      <c r="AW85" s="47"/>
      <c r="AX85" s="47"/>
      <c r="AY85" s="47"/>
      <c r="AZ85" s="47"/>
      <c r="BA85" s="47">
        <v>0.193</v>
      </c>
      <c r="BB85" s="47"/>
      <c r="BC85" s="47"/>
      <c r="BD85" s="47"/>
      <c r="BE85" s="47"/>
      <c r="BF85" s="47">
        <v>11.07724002</v>
      </c>
      <c r="BG85" s="47"/>
      <c r="BH85" s="47"/>
      <c r="BI85" s="47">
        <v>1.032277382</v>
      </c>
      <c r="BJ85" s="47"/>
      <c r="BK85" s="47">
        <v>-2.7486621090000001</v>
      </c>
      <c r="BL85" s="47"/>
      <c r="BM85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LGM</vt:lpstr>
      <vt:lpstr>MH</vt:lpstr>
      <vt:lpstr>Modern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Hayley Bricker</dc:creator>
  <cp:lastModifiedBy>Hayley Bricker</cp:lastModifiedBy>
  <dcterms:created xsi:type="dcterms:W3CDTF">2025-12-19T19:04:37Z</dcterms:created>
  <dcterms:modified xsi:type="dcterms:W3CDTF">2025-12-19T19:37:39Z</dcterms:modified>
</cp:coreProperties>
</file>